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e2f163b07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ế hoạch Sprint" sheetId="1" r:id="Rc4b101f61fd446da"/>
    <x:sheet xmlns:r="http://schemas.openxmlformats.org/officeDocument/2006/relationships" name="Tổng quan" sheetId="2" r:id="Rda4ab15a6386449f"/>
    <x:sheet xmlns:r="http://schemas.openxmlformats.org/officeDocument/2006/relationships" name="Phân công" sheetId="3" r:id="R73e4667000604dd2"/>
    <x:sheet xmlns:r="http://schemas.openxmlformats.org/officeDocument/2006/relationships" name="Git Workflow" sheetId="4" r:id="R4febc16a21924750"/>
    <x:sheet xmlns:r="http://schemas.openxmlformats.org/officeDocument/2006/relationships" name="Danh mục" sheetId="5" r:id="R6acde164e34d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top/>
    </x:border>
    <x:border>
      <x:right/>
      <x:top/>
    </x:border>
    <x:border>
      <x:left/>
    </x:border>
    <x:border>
      <x:right/>
    </x:border>
    <x:border>
      <x:left/>
    </x:border>
    <x:border>
      <x:left/>
      <x:bottom/>
    </x:border>
    <x:border>
      <x:bottom/>
    </x:border>
    <x:border>
      <x:right/>
      <x:bottom/>
    </x:border>
    <x:border>
      <x:bottom/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200" fontId="0" fillId="0" borderId="1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8" xfId="0" applyNumberFormat="1" applyFont="1" applyFill="1" applyBorder="1" applyAlignment="1">
      <x:alignment horizontal="center" vertical="center" wrapText="1"/>
    </x:xf>
    <x:xf numFmtId="0" fontId="2" fillId="7" borderId="19" xfId="0" applyNumberFormat="1" applyFont="1" applyFill="1" applyBorder="1" applyAlignment="1">
      <x:alignment horizontal="center" vertical="center" wrapText="1"/>
    </x:xf>
    <x:xf numFmtId="0" fontId="2" fillId="7" borderId="20" xfId="0" applyNumberFormat="1" applyFont="1" applyFill="1" applyBorder="1" applyAlignment="1">
      <x:alignment horizontal="center" vertical="center" wrapText="1"/>
    </x:xf>
    <x:xf numFmtId="0" fontId="2" fillId="7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top"/>
    </x:xf>
    <x:xf numFmtId="0" fontId="0" fillId="0" xfId="0" applyNumberFormat="1" applyFont="1" applyFill="1" applyBorder="0" applyAlignment="1">
      <x:alignment vertical="top"/>
    </x:xf>
    <x:xf numFmtId="0" fontId="0" fillId="0" xfId="0" applyNumberFormat="1" applyFont="1" applyFill="1" applyBorder="0" applyAlignment="1">
      <x:alignment vertical="top" wrapText="1"/>
    </x:xf>
    <x:xf numFmtId="200" fontId="0" fillId="0" borderId="23" xfId="0" applyNumberFormat="1" applyFont="1" applyFill="1" applyBorder="1"/>
    <x:xf numFmtId="0" fontId="0" fillId="0" borderId="24" xfId="0" applyNumberFormat="1" applyFont="1" applyFill="1" applyBorder="1" applyAlignment="1">
      <x:alignment vertical="top"/>
    </x:xf>
    <x:xf numFmtId="0" fontId="0" fillId="0" borderId="22" xfId="0" applyNumberFormat="1" applyFont="1" applyFill="1" applyBorder="1"/>
    <x:xf numFmtId="0" fontId="0" fillId="0" xfId="0" applyNumberFormat="1" applyFont="1" applyFill="1" applyBorder="0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7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/>
    </x:xf>
    <x:xf numFmtId="0" fontId="0" fillId="0" borderId="25" xfId="0" applyNumberFormat="1" applyFont="1" applyFill="1" applyBorder="1" applyAlignment="1">
      <x:alignment vertical="top"/>
    </x:xf>
    <x:xf numFmtId="0" fontId="0" fillId="0" borderId="26" xfId="0" applyNumberFormat="1" applyFont="1" applyFill="1" applyBorder="1" applyAlignment="1">
      <x:alignment vertical="top"/>
    </x:xf>
    <x:xf numFmtId="0" fontId="0" fillId="0" borderId="26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vertical="top"/>
    </x:xf>
    <x:xf numFmtId="0" fontId="0" fillId="0" borderId="23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27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/>
    </x:xf>
    <x:xf numFmtId="0" fontId="2" fillId="7" borderId="19" xfId="0" applyNumberFormat="1" applyFont="1" applyFill="1" applyBorder="1" applyAlignment="1">
      <x:alignment horizontal="center"/>
    </x:xf>
    <x:xf numFmtId="0" fontId="2" fillId="7" borderId="21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2" fillId="7" borderId="18" xfId="0" applyNumberFormat="1" applyFont="1" applyFill="1" applyBorder="1" applyAlignment="1">
      <x:alignment horizontal="center"/>
    </x:xf>
    <x:xf numFmtId="200" fontId="0" fillId="0" xfId="0" applyNumberFormat="1" applyFont="1" applyFill="1" applyBorder="0"/>
    <x:xf numFmtId="200" fontId="0" fillId="0" borderId="26" xfId="0" applyNumberFormat="1" applyFont="1" applyFill="1" applyBorder="1"/>
  </x:cellXfs>
  <x:cellStyles count="1">
    <x:cellStyle name="Normal" xfId="0"/>
  </x:cellStyles>
  <x:dxfs count="12"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d946ced46438d" /><Relationship Type="http://schemas.openxmlformats.org/officeDocument/2006/relationships/theme" Target="/xl/theme/theme1.xml" Id="R9337bbb774794d6a" /><Relationship Type="http://schemas.openxmlformats.org/officeDocument/2006/relationships/sharedStrings" Target="/xl/sharedStrings.xml" Id="Rda1d927a45c24da4" /><Relationship Type="http://schemas.openxmlformats.org/officeDocument/2006/relationships/worksheet" Target="/xl/worksheets/sheet1.xml" Id="Rc4b101f61fd446da" /><Relationship Type="http://schemas.openxmlformats.org/officeDocument/2006/relationships/worksheet" Target="/xl/worksheets/sheet2.xml" Id="Rda4ab15a6386449f" /><Relationship Type="http://schemas.openxmlformats.org/officeDocument/2006/relationships/worksheet" Target="/xl/worksheets/sheet3.xml" Id="R73e4667000604dd2" /><Relationship Type="http://schemas.openxmlformats.org/officeDocument/2006/relationships/worksheet" Target="/xl/worksheets/sheet4.xml" Id="R4febc16a21924750" /><Relationship Type="http://schemas.openxmlformats.org/officeDocument/2006/relationships/worksheet" Target="/xl/worksheets/sheet5.xml" Id="R6acde164e34d4b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f8ca5f5c8740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Phân bổ Story Points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'Tổng quan'!$A$4:$A$6</c:f>
              <c:strCache>
                <c:ptCount val="0"/>
              </c:strCache>
            </c:strRef>
          </c:cat>
          <c:val>
            <c:numRef>
              <c:f>'Tổng quan'!$B$4:$B$6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f8ca5f5c8740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269f78bfbf545c7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2" hidden="0" customWidth="1"/>
    <x:col min="3" max="3" width="11" hidden="0" customWidth="1"/>
    <x:col min="4" max="4" width="14" hidden="0" customWidth="1"/>
    <x:col min="5" max="5" width="15" hidden="0" customWidth="1"/>
    <x:col min="6" max="6" width="20" hidden="0" customWidth="1"/>
    <x:col min="7" max="7" width="26" hidden="0" customWidth="1"/>
    <x:col min="8" max="8" width="44" hidden="0" customWidth="1"/>
    <x:col min="9" max="9" width="11" hidden="0" customWidth="1"/>
    <x:col min="10" max="10" width="29" hidden="0" customWidth="1"/>
    <x:col min="11" max="11" width="22" hidden="0" customWidth="1"/>
    <x:col min="12" max="12" width="14" hidden="0" customWidth="1"/>
    <x:col min="13" max="13" width="11" hidden="0" customWidth="1"/>
    <x:col min="14" max="14" width="13" hidden="0" customWidth="1"/>
  </x:cols>
  <x:sheetData>
    <x:row r="1" ht="30" customHeight="1">
      <x:c r="A1" s="94" t="str">
        <x:v>RIDESHAREHUB — KẾ HOẠCH 4 SPRINT / 2 NGƯỜI — CHI TIẾT BE / WEB / MOBILE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  <x:c r="N1" s="94"/>
    </x:row>
    <x:row r="2" ht="38" customHeight="1">
      <x:c r="A2" s="106" t="str">
        <x:v>STT</x:v>
      </x:c>
      <x:c r="B2" s="107" t="str">
        <x:v>Task ID</x:v>
      </x:c>
      <x:c r="C2" s="107" t="str">
        <x:v>Sprint</x:v>
      </x:c>
      <x:c r="D2" s="107" t="str">
        <x:v>Người phụ trách</x:v>
      </x:c>
      <x:c r="E2" s="107" t="str">
        <x:v>Layer</x:v>
      </x:c>
      <x:c r="F2" s="107" t="str">
        <x:v>Ứng dụng / Module</x:v>
      </x:c>
      <x:c r="G2" s="107" t="str">
        <x:v>Chức năng</x:v>
      </x:c>
      <x:c r="H2" s="107" t="str">
        <x:v>Công việc cụ thể / Definition of Done</x:v>
      </x:c>
      <x:c r="I2" s="107" t="str">
        <x:v>Story Points</x:v>
      </x:c>
      <x:c r="J2" s="107" t="str">
        <x:v>Branch</x:v>
      </x:c>
      <x:c r="K2" s="107" t="str">
        <x:v>Phụ thuộc</x:v>
      </x:c>
      <x:c r="L2" s="107" t="str">
        <x:v>Trạng thái</x:v>
      </x:c>
      <x:c r="M2" s="108" t="str">
        <x:v>Ưu tiên</x:v>
      </x:c>
      <x:c r="N2" s="109" t="str">
        <x:v>% hoàn thành</x:v>
      </x:c>
    </x:row>
    <x:row r="3">
      <x:c r="A3" s="110" t="n">
        <x:v>1</x:v>
      </x:c>
      <x:c r="B3" s="111" t="str">
        <x:v>SP1-P1-01</x:v>
      </x:c>
      <x:c r="C3" s="111" t="str">
        <x:v>Sprint 1</x:v>
      </x:c>
      <x:c r="D3" s="111" t="str">
        <x:v>Người 1</x:v>
      </x:c>
      <x:c r="E3" s="112" t="str">
        <x:v>Backend</x:v>
      </x:c>
      <x:c r="F3" s="112" t="str">
        <x:v>Core API</x:v>
      </x:c>
      <x:c r="G3" s="112" t="str">
        <x:v>Auth &amp; RBAC BE</x:v>
      </x:c>
      <x:c r="H3" s="112" t="str">
        <x:v>Spring Security/JWT; login/register; phân quyền PASSENGER/TRANSPORT_COMPANY/DRIVER/ADMIN</x:v>
      </x:c>
      <x:c r="I3" s="112" t="n">
        <x:v>2</x:v>
      </x:c>
      <x:c r="J3" s="112" t="str">
        <x:v>feature/sp1-company-auth-vehicle</x:v>
      </x:c>
      <x:c r="K3" s="112" t="str">
        <x:v>Không</x:v>
      </x:c>
      <x:c r="L3" s="112" t="str">
        <x:v>Chưa bắt đầu</x:v>
      </x:c>
      <x:c r="M3" s="122" t="str">
        <x:v>Cao</x:v>
      </x:c>
      <x:c r="N3" s="125" t="n">
        <x:f>IF(L3="Hoàn thành",1,IF(L3="Review",0.8,IF(L3="Đang làm",0.5,0)))</x:f>
        <x:v>0</x:v>
      </x:c>
    </x:row>
    <x:row r="4">
      <x:c r="A4" s="110" t="n">
        <x:v>2</x:v>
      </x:c>
      <x:c r="B4" s="111" t="str">
        <x:v>SP1-P1-02</x:v>
      </x:c>
      <x:c r="C4" s="111" t="str">
        <x:v>Sprint 1</x:v>
      </x:c>
      <x:c r="D4" s="111" t="str">
        <x:v>Người 1</x:v>
      </x:c>
      <x:c r="E4" s="112" t="str">
        <x:v>Backend</x:v>
      </x:c>
      <x:c r="F4" s="112" t="str">
        <x:v>Company/Vehicle API</x:v>
      </x:c>
      <x:c r="G4" s="112" t="str">
        <x:v>Company + Vehicle BE</x:v>
      </x:c>
      <x:c r="H4" s="112" t="str">
        <x:v>Company registration/approval APIs; Vehicle CRUD, capacity/status; chặn publish nếu company chưa APPROVED</x:v>
      </x:c>
      <x:c r="I4" s="112" t="n">
        <x:v>2</x:v>
      </x:c>
      <x:c r="J4" s="112" t="str">
        <x:v>feature/sp1-company-auth-vehicle</x:v>
      </x:c>
      <x:c r="K4" s="112" t="str">
        <x:v>SP1-P1-01</x:v>
      </x:c>
      <x:c r="L4" s="112" t="str">
        <x:v>Chưa bắt đầu</x:v>
      </x:c>
      <x:c r="M4" s="122" t="str">
        <x:v>Cao</x:v>
      </x:c>
      <x:c r="N4" s="125" t="n">
        <x:f>IF(L4="Hoàn thành",1,IF(L4="Review",0.8,IF(L4="Đang làm",0.5,0)))</x:f>
        <x:v>0</x:v>
      </x:c>
    </x:row>
    <x:row r="5">
      <x:c r="A5" s="110" t="n">
        <x:v>3</x:v>
      </x:c>
      <x:c r="B5" s="111" t="str">
        <x:v>SP1-P1-03</x:v>
      </x:c>
      <x:c r="C5" s="111" t="str">
        <x:v>Sprint 1</x:v>
      </x:c>
      <x:c r="D5" s="111" t="str">
        <x:v>Người 1</x:v>
      </x:c>
      <x:c r="E5" s="112" t="str">
        <x:v>Web Frontend</x:v>
      </x:c>
      <x:c r="F5" s="112" t="str">
        <x:v>Admin Web</x:v>
      </x:c>
      <x:c r="G5" s="112" t="str">
        <x:v>Admin duyệt nhà xe</x:v>
      </x:c>
      <x:c r="H5" s="112" t="str">
        <x:v>Màn danh sách hồ sơ PENDING; xem chi tiết; APPROVE/REJECT; hiển thị trạng thái</x:v>
      </x:c>
      <x:c r="I5" s="112" t="n">
        <x:v>2</x:v>
      </x:c>
      <x:c r="J5" s="112" t="str">
        <x:v>feature/sp1-company-auth-vehicle</x:v>
      </x:c>
      <x:c r="K5" s="112" t="str">
        <x:v>SP1-P1-02</x:v>
      </x:c>
      <x:c r="L5" s="112" t="str">
        <x:v>Chưa bắt đầu</x:v>
      </x:c>
      <x:c r="M5" s="122" t="str">
        <x:v>Trung bình</x:v>
      </x:c>
      <x:c r="N5" s="125" t="n">
        <x:f>IF(L5="Hoàn thành",1,IF(L5="Review",0.8,IF(L5="Đang làm",0.5,0)))</x:f>
        <x:v>0</x:v>
      </x:c>
    </x:row>
    <x:row r="6">
      <x:c r="A6" s="110" t="n">
        <x:v>4</x:v>
      </x:c>
      <x:c r="B6" s="111" t="str">
        <x:v>SP1-P1-04</x:v>
      </x:c>
      <x:c r="C6" s="111" t="str">
        <x:v>Sprint 1</x:v>
      </x:c>
      <x:c r="D6" s="111" t="str">
        <x:v>Người 1</x:v>
      </x:c>
      <x:c r="E6" s="112" t="str">
        <x:v>Web Frontend</x:v>
      </x:c>
      <x:c r="F6" s="112" t="str">
        <x:v>Company Web</x:v>
      </x:c>
      <x:c r="G6" s="112" t="str">
        <x:v>Quản lý hồ sơ &amp; Vehicle</x:v>
      </x:c>
      <x:c r="H6" s="112" t="str">
        <x:v>Company profile; danh sách/thêm/sửa xe; trạng thái và số ghế; tích hợp API</x:v>
      </x:c>
      <x:c r="I6" s="112" t="n">
        <x:v>2</x:v>
      </x:c>
      <x:c r="J6" s="112" t="str">
        <x:v>feature/sp1-company-auth-vehicle</x:v>
      </x:c>
      <x:c r="K6" s="112" t="str">
        <x:v>SP1-P1-02</x:v>
      </x:c>
      <x:c r="L6" s="112" t="str">
        <x:v>Chưa bắt đầu</x:v>
      </x:c>
      <x:c r="M6" s="122" t="str">
        <x:v>Trung bình</x:v>
      </x:c>
      <x:c r="N6" s="125" t="n">
        <x:f>IF(L6="Hoàn thành",1,IF(L6="Review",0.8,IF(L6="Đang làm",0.5,0)))</x:f>
        <x:v>0</x:v>
      </x:c>
    </x:row>
    <x:row r="7">
      <x:c r="A7" s="110" t="n">
        <x:v>5</x:v>
      </x:c>
      <x:c r="B7" s="111" t="str">
        <x:v>SP1-P2-01</x:v>
      </x:c>
      <x:c r="C7" s="111" t="str">
        <x:v>Sprint 1</x:v>
      </x:c>
      <x:c r="D7" s="111" t="str">
        <x:v>Người 2</x:v>
      </x:c>
      <x:c r="E7" s="112" t="str">
        <x:v>Backend</x:v>
      </x:c>
      <x:c r="F7" s="112" t="str">
        <x:v>Driver/Route/Trip API</x:v>
      </x:c>
      <x:c r="G7" s="112" t="str">
        <x:v>Driver + Route + Trip BE</x:v>
      </x:c>
      <x:c r="H7" s="112" t="str">
        <x:v>Driver CRUD/availability; Route CRUD; Trip CRUD/publish; gán Driver/Vehicle; check lịch trùng</x:v>
      </x:c>
      <x:c r="I7" s="112" t="n">
        <x:v>3</x:v>
      </x:c>
      <x:c r="J7" s="112" t="str">
        <x:v>feature/sp1-driver-route-trip</x:v>
      </x:c>
      <x:c r="K7" s="112" t="str">
        <x:v>SP1-P1-01, SP1-P1-02</x:v>
      </x:c>
      <x:c r="L7" s="112" t="str">
        <x:v>Chưa bắt đầu</x:v>
      </x:c>
      <x:c r="M7" s="122" t="str">
        <x:v>Cao</x:v>
      </x:c>
      <x:c r="N7" s="125" t="n">
        <x:f>IF(L7="Hoàn thành",1,IF(L7="Review",0.8,IF(L7="Đang làm",0.5,0)))</x:f>
        <x:v>0</x:v>
      </x:c>
    </x:row>
    <x:row r="8">
      <x:c r="A8" s="110" t="n">
        <x:v>6</x:v>
      </x:c>
      <x:c r="B8" s="111" t="str">
        <x:v>SP1-P2-02</x:v>
      </x:c>
      <x:c r="C8" s="111" t="str">
        <x:v>Sprint 1</x:v>
      </x:c>
      <x:c r="D8" s="111" t="str">
        <x:v>Người 2</x:v>
      </x:c>
      <x:c r="E8" s="112" t="str">
        <x:v>Web Frontend</x:v>
      </x:c>
      <x:c r="F8" s="112" t="str">
        <x:v>Company Web</x:v>
      </x:c>
      <x:c r="G8" s="112" t="str">
        <x:v>Driver &amp; Route UI</x:v>
      </x:c>
      <x:c r="H8" s="112" t="str">
        <x:v>Màn CRUD Driver và Route; validation; tích hợp API</x:v>
      </x:c>
      <x:c r="I8" s="112" t="n">
        <x:v>2</x:v>
      </x:c>
      <x:c r="J8" s="112" t="str">
        <x:v>feature/sp1-driver-route-trip</x:v>
      </x:c>
      <x:c r="K8" s="112" t="str">
        <x:v>SP1-P2-01</x:v>
      </x:c>
      <x:c r="L8" s="112" t="str">
        <x:v>Chưa bắt đầu</x:v>
      </x:c>
      <x:c r="M8" s="122" t="str">
        <x:v>Trung bình</x:v>
      </x:c>
      <x:c r="N8" s="125" t="n">
        <x:f>IF(L8="Hoàn thành",1,IF(L8="Review",0.8,IF(L8="Đang làm",0.5,0)))</x:f>
        <x:v>0</x:v>
      </x:c>
    </x:row>
    <x:row r="9">
      <x:c r="A9" s="110" t="n">
        <x:v>7</x:v>
      </x:c>
      <x:c r="B9" s="111" t="str">
        <x:v>SP1-P2-03</x:v>
      </x:c>
      <x:c r="C9" s="111" t="str">
        <x:v>Sprint 1</x:v>
      </x:c>
      <x:c r="D9" s="111" t="str">
        <x:v>Người 2</x:v>
      </x:c>
      <x:c r="E9" s="112" t="str">
        <x:v>Web Frontend</x:v>
      </x:c>
      <x:c r="F9" s="112" t="str">
        <x:v>Company Web</x:v>
      </x:c>
      <x:c r="G9" s="112" t="str">
        <x:v>Trip Management UI</x:v>
      </x:c>
      <x:c r="H9" s="112" t="str">
        <x:v>Tạo/sửa/publish Trip; chọn Route/Vehicle/Driver; hiển thị conflict và trạng thái</x:v>
      </x:c>
      <x:c r="I9" s="112" t="n">
        <x:v>2</x:v>
      </x:c>
      <x:c r="J9" s="112" t="str">
        <x:v>feature/sp1-driver-route-trip</x:v>
      </x:c>
      <x:c r="K9" s="112" t="str">
        <x:v>SP1-P2-01</x:v>
      </x:c>
      <x:c r="L9" s="112" t="str">
        <x:v>Chưa bắt đầu</x:v>
      </x:c>
      <x:c r="M9" s="122" t="str">
        <x:v>Cao</x:v>
      </x:c>
      <x:c r="N9" s="125" t="n">
        <x:f>IF(L9="Hoàn thành",1,IF(L9="Review",0.8,IF(L9="Đang làm",0.5,0)))</x:f>
        <x:v>0</x:v>
      </x:c>
    </x:row>
    <x:row r="10">
      <x:c r="A10" s="110" t="n">
        <x:v>8</x:v>
      </x:c>
      <x:c r="B10" s="111" t="str">
        <x:v>SP1-P2-04</x:v>
      </x:c>
      <x:c r="C10" s="111" t="str">
        <x:v>Sprint 1</x:v>
      </x:c>
      <x:c r="D10" s="111" t="str">
        <x:v>Người 2</x:v>
      </x:c>
      <x:c r="E10" s="112" t="str">
        <x:v>Mobile</x:v>
      </x:c>
      <x:c r="F10" s="112" t="str">
        <x:v>Passenger/Driver App</x:v>
      </x:c>
      <x:c r="G10" s="112" t="str">
        <x:v>Khởi tạo app mobile &amp; auth flow</x:v>
      </x:c>
      <x:c r="H10" s="112" t="str">
        <x:v>Expo/React Native skeleton; login; lưu token; điều hướng theo role Passenger/Driver</x:v>
      </x:c>
      <x:c r="I10" s="112" t="n">
        <x:v>1</x:v>
      </x:c>
      <x:c r="J10" s="112" t="str">
        <x:v>feature/sp1-driver-route-trip</x:v>
      </x:c>
      <x:c r="K10" s="112" t="str">
        <x:v>SP1-P1-01</x:v>
      </x:c>
      <x:c r="L10" s="112" t="str">
        <x:v>Chưa bắt đầu</x:v>
      </x:c>
      <x:c r="M10" s="122" t="str">
        <x:v>Trung bình</x:v>
      </x:c>
      <x:c r="N10" s="125" t="n">
        <x:f>IF(L10="Hoàn thành",1,IF(L10="Review",0.8,IF(L10="Đang làm",0.5,0)))</x:f>
        <x:v>0</x:v>
      </x:c>
    </x:row>
    <x:row r="11">
      <x:c r="A11" s="110" t="n">
        <x:v>9</x:v>
      </x:c>
      <x:c r="B11" s="111" t="str">
        <x:v>SP2-P1-01</x:v>
      </x:c>
      <x:c r="C11" s="111" t="str">
        <x:v>Sprint 2</x:v>
      </x:c>
      <x:c r="D11" s="111" t="str">
        <x:v>Người 1</x:v>
      </x:c>
      <x:c r="E11" s="112" t="str">
        <x:v>Backend</x:v>
      </x:c>
      <x:c r="F11" s="112" t="str">
        <x:v>Search/Fare API</x:v>
      </x:c>
      <x:c r="G11" s="112" t="str">
        <x:v>Trip Search API</x:v>
      </x:c>
      <x:c r="H11" s="112" t="str">
        <x:v>Search origin/destination/date; filter company/time/price/vehicle/rating/seats; sort</x:v>
      </x:c>
      <x:c r="I11" s="112" t="n">
        <x:v>3</x:v>
      </x:c>
      <x:c r="J11" s="112" t="str">
        <x:v>feature/sp2-search-fare</x:v>
      </x:c>
      <x:c r="K11" s="112" t="str">
        <x:v>SP1-P2-01</x:v>
      </x:c>
      <x:c r="L11" s="112" t="str">
        <x:v>Chưa bắt đầu</x:v>
      </x:c>
      <x:c r="M11" s="122" t="str">
        <x:v>Cao</x:v>
      </x:c>
      <x:c r="N11" s="125" t="n">
        <x:f>IF(L11="Hoàn thành",1,IF(L11="Review",0.8,IF(L11="Đang làm",0.5,0)))</x:f>
        <x:v>0</x:v>
      </x:c>
    </x:row>
    <x:row r="12">
      <x:c r="A12" s="110" t="n">
        <x:v>10</x:v>
      </x:c>
      <x:c r="B12" s="111" t="str">
        <x:v>SP2-P1-02</x:v>
      </x:c>
      <x:c r="C12" s="111" t="str">
        <x:v>Sprint 2</x:v>
      </x:c>
      <x:c r="D12" s="111" t="str">
        <x:v>Người 1</x:v>
      </x:c>
      <x:c r="E12" s="112" t="str">
        <x:v>Backend</x:v>
      </x:c>
      <x:c r="F12" s="112" t="str">
        <x:v>Fare API</x:v>
      </x:c>
      <x:c r="G12" s="112" t="str">
        <x:v>Fare Estimation BE</x:v>
      </x:c>
      <x:c r="H12" s="112" t="str">
        <x:v>Tính fare V1 theo route/config; trả estimated fare trước booking</x:v>
      </x:c>
      <x:c r="I12" s="112" t="n">
        <x:v>1</x:v>
      </x:c>
      <x:c r="J12" s="112" t="str">
        <x:v>feature/sp2-search-fare</x:v>
      </x:c>
      <x:c r="K12" s="112" t="str">
        <x:v>SP2-P1-01</x:v>
      </x:c>
      <x:c r="L12" s="112" t="str">
        <x:v>Chưa bắt đầu</x:v>
      </x:c>
      <x:c r="M12" s="122" t="str">
        <x:v>Trung bình</x:v>
      </x:c>
      <x:c r="N12" s="125" t="n">
        <x:f>IF(L12="Hoàn thành",1,IF(L12="Review",0.8,IF(L12="Đang làm",0.5,0)))</x:f>
        <x:v>0</x:v>
      </x:c>
    </x:row>
    <x:row r="13">
      <x:c r="A13" s="110" t="n">
        <x:v>11</x:v>
      </x:c>
      <x:c r="B13" s="111" t="str">
        <x:v>SP2-P1-03</x:v>
      </x:c>
      <x:c r="C13" s="111" t="str">
        <x:v>Sprint 2</x:v>
      </x:c>
      <x:c r="D13" s="111" t="str">
        <x:v>Người 1</x:v>
      </x:c>
      <x:c r="E13" s="112" t="str">
        <x:v>Mobile</x:v>
      </x:c>
      <x:c r="F13" s="112" t="str">
        <x:v>Passenger App</x:v>
      </x:c>
      <x:c r="G13" s="112" t="str">
        <x:v>Search &amp; Filter UI</x:v>
      </x:c>
      <x:c r="H13" s="112" t="str">
        <x:v>Màn nhập điểm đi/đến/ngày; danh sách nhiều nhà xe; filter/sort</x:v>
      </x:c>
      <x:c r="I13" s="112" t="n">
        <x:v>2</x:v>
      </x:c>
      <x:c r="J13" s="112" t="str">
        <x:v>feature/sp2-search-fare</x:v>
      </x:c>
      <x:c r="K13" s="112" t="str">
        <x:v>SP2-P1-01</x:v>
      </x:c>
      <x:c r="L13" s="112" t="str">
        <x:v>Chưa bắt đầu</x:v>
      </x:c>
      <x:c r="M13" s="122" t="str">
        <x:v>Cao</x:v>
      </x:c>
      <x:c r="N13" s="125" t="n">
        <x:f>IF(L13="Hoàn thành",1,IF(L13="Review",0.8,IF(L13="Đang làm",0.5,0)))</x:f>
        <x:v>0</x:v>
      </x:c>
    </x:row>
    <x:row r="14">
      <x:c r="A14" s="110" t="n">
        <x:v>12</x:v>
      </x:c>
      <x:c r="B14" s="111" t="str">
        <x:v>SP2-P1-04</x:v>
      </x:c>
      <x:c r="C14" s="111" t="str">
        <x:v>Sprint 2</x:v>
      </x:c>
      <x:c r="D14" s="111" t="str">
        <x:v>Người 1</x:v>
      </x:c>
      <x:c r="E14" s="112" t="str">
        <x:v>Mobile</x:v>
      </x:c>
      <x:c r="F14" s="112" t="str">
        <x:v>Passenger App</x:v>
      </x:c>
      <x:c r="G14" s="112" t="str">
        <x:v>Trip Detail &amp; Fare UI</x:v>
      </x:c>
      <x:c r="H14" s="112" t="str">
        <x:v>Chi tiết company/vehicle/time/seats/policy; hiển thị giá dự kiến; chọn Trip</x:v>
      </x:c>
      <x:c r="I14" s="112" t="n">
        <x:v>2</x:v>
      </x:c>
      <x:c r="J14" s="112" t="str">
        <x:v>feature/sp2-search-fare</x:v>
      </x:c>
      <x:c r="K14" s="112" t="str">
        <x:v>SP2-P1-02, SP2-P1-03</x:v>
      </x:c>
      <x:c r="L14" s="112" t="str">
        <x:v>Chưa bắt đầu</x:v>
      </x:c>
      <x:c r="M14" s="122" t="str">
        <x:v>Trung bình</x:v>
      </x:c>
      <x:c r="N14" s="125" t="n">
        <x:f>IF(L14="Hoàn thành",1,IF(L14="Review",0.8,IF(L14="Đang làm",0.5,0)))</x:f>
        <x:v>0</x:v>
      </x:c>
    </x:row>
    <x:row r="15">
      <x:c r="A15" s="110" t="n">
        <x:v>13</x:v>
      </x:c>
      <x:c r="B15" s="111" t="str">
        <x:v>SP2-P2-01</x:v>
      </x:c>
      <x:c r="C15" s="111" t="str">
        <x:v>Sprint 2</x:v>
      </x:c>
      <x:c r="D15" s="111" t="str">
        <x:v>Người 2</x:v>
      </x:c>
      <x:c r="E15" s="112" t="str">
        <x:v>Backend</x:v>
      </x:c>
      <x:c r="F15" s="112" t="str">
        <x:v>Booking API</x:v>
      </x:c>
      <x:c r="G15" s="112" t="str">
        <x:v>Booking lifecycle BE</x:v>
      </x:c>
      <x:c r="H15" s="112" t="str">
        <x:v>Create Booking; seatCount; pickup/dropoff; states PENDING/CONFIRMED/CANCELLED/NO_SHOW</x:v>
      </x:c>
      <x:c r="I15" s="112" t="n">
        <x:v>3</x:v>
      </x:c>
      <x:c r="J15" s="112" t="str">
        <x:v>feature/sp2-booking-seat</x:v>
      </x:c>
      <x:c r="K15" s="112" t="str">
        <x:v>SP1-P2-01</x:v>
      </x:c>
      <x:c r="L15" s="112" t="str">
        <x:v>Chưa bắt đầu</x:v>
      </x:c>
      <x:c r="M15" s="122" t="str">
        <x:v>Cao</x:v>
      </x:c>
      <x:c r="N15" s="125" t="n">
        <x:f>IF(L15="Hoàn thành",1,IF(L15="Review",0.8,IF(L15="Đang làm",0.5,0)))</x:f>
        <x:v>0</x:v>
      </x:c>
    </x:row>
    <x:row r="16">
      <x:c r="A16" s="110" t="n">
        <x:v>14</x:v>
      </x:c>
      <x:c r="B16" s="111" t="str">
        <x:v>SP2-P2-02</x:v>
      </x:c>
      <x:c r="C16" s="111" t="str">
        <x:v>Sprint 2</x:v>
      </x:c>
      <x:c r="D16" s="111" t="str">
        <x:v>Người 2</x:v>
      </x:c>
      <x:c r="E16" s="112" t="str">
        <x:v>Backend</x:v>
      </x:c>
      <x:c r="F16" s="112" t="str">
        <x:v>Booking API</x:v>
      </x:c>
      <x:c r="G16" s="112" t="str">
        <x:v>Seat Concurrency / Locking</x:v>
      </x:c>
      <x:c r="H16" s="112" t="str">
        <x:v>Transaction/locking để chống overbooking; release seat sau cancellation</x:v>
      </x:c>
      <x:c r="I16" s="112" t="n">
        <x:v>2</x:v>
      </x:c>
      <x:c r="J16" s="112" t="str">
        <x:v>feature/sp2-booking-seat</x:v>
      </x:c>
      <x:c r="K16" s="112" t="str">
        <x:v>SP2-P2-01</x:v>
      </x:c>
      <x:c r="L16" s="112" t="str">
        <x:v>Chưa bắt đầu</x:v>
      </x:c>
      <x:c r="M16" s="122" t="str">
        <x:v>Cao</x:v>
      </x:c>
      <x:c r="N16" s="125" t="n">
        <x:f>IF(L16="Hoàn thành",1,IF(L16="Review",0.8,IF(L16="Đang làm",0.5,0)))</x:f>
        <x:v>0</x:v>
      </x:c>
    </x:row>
    <x:row r="17">
      <x:c r="A17" s="110" t="n">
        <x:v>15</x:v>
      </x:c>
      <x:c r="B17" s="111" t="str">
        <x:v>SP2-P2-03</x:v>
      </x:c>
      <x:c r="C17" s="111" t="str">
        <x:v>Sprint 2</x:v>
      </x:c>
      <x:c r="D17" s="111" t="str">
        <x:v>Người 2</x:v>
      </x:c>
      <x:c r="E17" s="112" t="str">
        <x:v>Mobile</x:v>
      </x:c>
      <x:c r="F17" s="112" t="str">
        <x:v>Passenger App</x:v>
      </x:c>
      <x:c r="G17" s="112" t="str">
        <x:v>Booking UI</x:v>
      </x:c>
      <x:c r="H17" s="112" t="str">
        <x:v>Chọn số ghế, pickup/dropoff, xác nhận booking; xem booking status; hủy booking</x:v>
      </x:c>
      <x:c r="I17" s="112" t="n">
        <x:v>2</x:v>
      </x:c>
      <x:c r="J17" s="112" t="str">
        <x:v>feature/sp2-booking-seat</x:v>
      </x:c>
      <x:c r="K17" s="112" t="str">
        <x:v>SP2-P2-01</x:v>
      </x:c>
      <x:c r="L17" s="112" t="str">
        <x:v>Chưa bắt đầu</x:v>
      </x:c>
      <x:c r="M17" s="122" t="str">
        <x:v>Cao</x:v>
      </x:c>
      <x:c r="N17" s="125" t="n">
        <x:f>IF(L17="Hoàn thành",1,IF(L17="Review",0.8,IF(L17="Đang làm",0.5,0)))</x:f>
        <x:v>0</x:v>
      </x:c>
    </x:row>
    <x:row r="18">
      <x:c r="A18" s="110" t="n">
        <x:v>16</x:v>
      </x:c>
      <x:c r="B18" s="111" t="str">
        <x:v>SP2-P2-04</x:v>
      </x:c>
      <x:c r="C18" s="111" t="str">
        <x:v>Sprint 2</x:v>
      </x:c>
      <x:c r="D18" s="111" t="str">
        <x:v>Người 2</x:v>
      </x:c>
      <x:c r="E18" s="112" t="str">
        <x:v>Testing</x:v>
      </x:c>
      <x:c r="F18" s="112" t="str">
        <x:v>Backend Test</x:v>
      </x:c>
      <x:c r="G18" s="112" t="str">
        <x:v>Concurrent booking test</x:v>
      </x:c>
      <x:c r="H18" s="112" t="str">
        <x:v>Test tình huống chỉ còn 2 ghế nhưng 2 request đặt đồng thời; chỉ 1 booking được confirm</x:v>
      </x:c>
      <x:c r="I18" s="112" t="n">
        <x:v>1</x:v>
      </x:c>
      <x:c r="J18" s="112" t="str">
        <x:v>feature/sp2-booking-seat</x:v>
      </x:c>
      <x:c r="K18" s="112" t="str">
        <x:v>SP2-P2-02</x:v>
      </x:c>
      <x:c r="L18" s="112" t="str">
        <x:v>Chưa bắt đầu</x:v>
      </x:c>
      <x:c r="M18" s="122" t="str">
        <x:v>Cao</x:v>
      </x:c>
      <x:c r="N18" s="125" t="n">
        <x:f>IF(L18="Hoàn thành",1,IF(L18="Review",0.8,IF(L18="Đang làm",0.5,0)))</x:f>
        <x:v>0</x:v>
      </x:c>
    </x:row>
    <x:row r="19">
      <x:c r="A19" s="110" t="n">
        <x:v>17</x:v>
      </x:c>
      <x:c r="B19" s="111" t="str">
        <x:v>SP3-P1-01</x:v>
      </x:c>
      <x:c r="C19" s="111" t="str">
        <x:v>Sprint 3</x:v>
      </x:c>
      <x:c r="D19" s="111" t="str">
        <x:v>Người 1</x:v>
      </x:c>
      <x:c r="E19" s="112" t="str">
        <x:v>Backend</x:v>
      </x:c>
      <x:c r="F19" s="112" t="str">
        <x:v>TripStop API</x:v>
      </x:c>
      <x:c r="G19" s="112" t="str">
        <x:v>Pickup/Dropoff &amp; TripStop BE</x:v>
      </x:c>
      <x:c r="H19" s="112" t="str">
        <x:v>Tạo PICKUP/DROPOFF theo booking; stop status; invariant pickup trước dropoff</x:v>
      </x:c>
      <x:c r="I19" s="112" t="n">
        <x:v>2</x:v>
      </x:c>
      <x:c r="J19" s="112" t="str">
        <x:v>feature/sp3-tripstop-optimizer</x:v>
      </x:c>
      <x:c r="K19" s="112" t="str">
        <x:v>SP2-P2-01</x:v>
      </x:c>
      <x:c r="L19" s="112" t="str">
        <x:v>Chưa bắt đầu</x:v>
      </x:c>
      <x:c r="M19" s="122" t="str">
        <x:v>Cao</x:v>
      </x:c>
      <x:c r="N19" s="125" t="n">
        <x:f>IF(L19="Hoàn thành",1,IF(L19="Review",0.8,IF(L19="Đang làm",0.5,0)))</x:f>
        <x:v>0</x:v>
      </x:c>
    </x:row>
    <x:row r="20">
      <x:c r="A20" s="110" t="n">
        <x:v>18</x:v>
      </x:c>
      <x:c r="B20" s="111" t="str">
        <x:v>SP3-P1-02</x:v>
      </x:c>
      <x:c r="C20" s="111" t="str">
        <x:v>Sprint 3</x:v>
      </x:c>
      <x:c r="D20" s="111" t="str">
        <x:v>Người 1</x:v>
      </x:c>
      <x:c r="E20" s="112" t="str">
        <x:v>Optimizer</x:v>
      </x:c>
      <x:c r="F20" s="112" t="str">
        <x:v>Python/FastAPI</x:v>
      </x:c>
      <x:c r="G20" s="112" t="str">
        <x:v>Optimization Service</x:v>
      </x:c>
      <x:c r="H20" s="112" t="str">
        <x:v>FastAPI + OR-Tools; input stops/capacity; output ordered stops/distance/duration</x:v>
      </x:c>
      <x:c r="I20" s="112" t="n">
        <x:v>3</x:v>
      </x:c>
      <x:c r="J20" s="112" t="str">
        <x:v>feature/sp3-tripstop-optimizer</x:v>
      </x:c>
      <x:c r="K20" s="112" t="str">
        <x:v>SP3-P1-01</x:v>
      </x:c>
      <x:c r="L20" s="112" t="str">
        <x:v>Chưa bắt đầu</x:v>
      </x:c>
      <x:c r="M20" s="122" t="str">
        <x:v>Cao</x:v>
      </x:c>
      <x:c r="N20" s="125" t="n">
        <x:f>IF(L20="Hoàn thành",1,IF(L20="Review",0.8,IF(L20="Đang làm",0.5,0)))</x:f>
        <x:v>0</x:v>
      </x:c>
    </x:row>
    <x:row r="21">
      <x:c r="A21" s="110" t="n">
        <x:v>19</x:v>
      </x:c>
      <x:c r="B21" s="111" t="str">
        <x:v>SP3-P1-03</x:v>
      </x:c>
      <x:c r="C21" s="111" t="str">
        <x:v>Sprint 3</x:v>
      </x:c>
      <x:c r="D21" s="111" t="str">
        <x:v>Người 1</x:v>
      </x:c>
      <x:c r="E21" s="112" t="str">
        <x:v>Backend</x:v>
      </x:c>
      <x:c r="F21" s="112" t="str">
        <x:v>Optimizer Integration</x:v>
      </x:c>
      <x:c r="G21" s="112" t="str">
        <x:v>Spring ↔ Optimizer integration</x:v>
      </x:c>
      <x:c r="H21" s="112" t="str">
        <x:v>Backend validate Trip/Booking rồi gọi optimizer; lưu/return route proposal; không cho optimizer sửa business state</x:v>
      </x:c>
      <x:c r="I21" s="112" t="n">
        <x:v>2</x:v>
      </x:c>
      <x:c r="J21" s="112" t="str">
        <x:v>feature/sp3-tripstop-optimizer</x:v>
      </x:c>
      <x:c r="K21" s="112" t="str">
        <x:v>SP3-P1-02</x:v>
      </x:c>
      <x:c r="L21" s="112" t="str">
        <x:v>Chưa bắt đầu</x:v>
      </x:c>
      <x:c r="M21" s="122" t="str">
        <x:v>Cao</x:v>
      </x:c>
      <x:c r="N21" s="125" t="n">
        <x:f>IF(L21="Hoàn thành",1,IF(L21="Review",0.8,IF(L21="Đang làm",0.5,0)))</x:f>
        <x:v>0</x:v>
      </x:c>
    </x:row>
    <x:row r="22">
      <x:c r="A22" s="110" t="n">
        <x:v>20</x:v>
      </x:c>
      <x:c r="B22" s="111" t="str">
        <x:v>SP3-P1-04</x:v>
      </x:c>
      <x:c r="C22" s="111" t="str">
        <x:v>Sprint 3</x:v>
      </x:c>
      <x:c r="D22" s="111" t="str">
        <x:v>Người 1</x:v>
      </x:c>
      <x:c r="E22" s="112" t="str">
        <x:v>Mobile</x:v>
      </x:c>
      <x:c r="F22" s="112" t="str">
        <x:v>Passenger App</x:v>
      </x:c>
      <x:c r="G22" s="112" t="str">
        <x:v>Hiển thị stops / route dự kiến</x:v>
      </x:c>
      <x:c r="H22" s="112" t="str">
        <x:v>Passenger xem pickup/dropoff và route/ETA dự kiến ở mức MVP</x:v>
      </x:c>
      <x:c r="I22" s="112" t="n">
        <x:v>1</x:v>
      </x:c>
      <x:c r="J22" s="112" t="str">
        <x:v>feature/sp3-tripstop-optimizer</x:v>
      </x:c>
      <x:c r="K22" s="112" t="str">
        <x:v>SP3-P1-03</x:v>
      </x:c>
      <x:c r="L22" s="112" t="str">
        <x:v>Chưa bắt đầu</x:v>
      </x:c>
      <x:c r="M22" s="122" t="str">
        <x:v>Trung bình</x:v>
      </x:c>
      <x:c r="N22" s="125" t="n">
        <x:f>IF(L22="Hoàn thành",1,IF(L22="Review",0.8,IF(L22="Đang làm",0.5,0)))</x:f>
        <x:v>0</x:v>
      </x:c>
    </x:row>
    <x:row r="23">
      <x:c r="A23" s="110" t="n">
        <x:v>21</x:v>
      </x:c>
      <x:c r="B23" s="111" t="str">
        <x:v>SP3-P2-01</x:v>
      </x:c>
      <x:c r="C23" s="111" t="str">
        <x:v>Sprint 3</x:v>
      </x:c>
      <x:c r="D23" s="111" t="str">
        <x:v>Người 2</x:v>
      </x:c>
      <x:c r="E23" s="112" t="str">
        <x:v>Backend</x:v>
      </x:c>
      <x:c r="F23" s="112" t="str">
        <x:v>Trip Execution API</x:v>
      </x:c>
      <x:c r="G23" s="112" t="str">
        <x:v>Driver Trip Lifecycle BE</x:v>
      </x:c>
      <x:c r="H23" s="112" t="str">
        <x:v>Assigned/Accepted/In Progress/Completed; update stop ARRIVED/PICKED_UP/DROPPED_OFF; validate state</x:v>
      </x:c>
      <x:c r="I23" s="112" t="n">
        <x:v>3</x:v>
      </x:c>
      <x:c r="J23" s="112" t="str">
        <x:v>feature/sp3-driver-realtime</x:v>
      </x:c>
      <x:c r="K23" s="112" t="str">
        <x:v>SP3-P1-01</x:v>
      </x:c>
      <x:c r="L23" s="112" t="str">
        <x:v>Chưa bắt đầu</x:v>
      </x:c>
      <x:c r="M23" s="122" t="str">
        <x:v>Cao</x:v>
      </x:c>
      <x:c r="N23" s="125" t="n">
        <x:f>IF(L23="Hoàn thành",1,IF(L23="Review",0.8,IF(L23="Đang làm",0.5,0)))</x:f>
        <x:v>0</x:v>
      </x:c>
    </x:row>
    <x:row r="24">
      <x:c r="A24" s="110" t="n">
        <x:v>22</x:v>
      </x:c>
      <x:c r="B24" s="111" t="str">
        <x:v>SP3-P2-02</x:v>
      </x:c>
      <x:c r="C24" s="111" t="str">
        <x:v>Sprint 3</x:v>
      </x:c>
      <x:c r="D24" s="111" t="str">
        <x:v>Người 2</x:v>
      </x:c>
      <x:c r="E24" s="112" t="str">
        <x:v>Backend</x:v>
      </x:c>
      <x:c r="F24" s="112" t="str">
        <x:v>Realtime</x:v>
      </x:c>
      <x:c r="G24" s="112" t="str">
        <x:v>WebSocket + Location BE</x:v>
      </x:c>
      <x:c r="H24" s="112" t="str">
        <x:v>Nhận GPS, publish location/status; authorization subscription; DB vẫn là source of truth</x:v>
      </x:c>
      <x:c r="I24" s="112" t="n">
        <x:v>2</x:v>
      </x:c>
      <x:c r="J24" s="112" t="str">
        <x:v>feature/sp3-driver-realtime</x:v>
      </x:c>
      <x:c r="K24" s="112" t="str">
        <x:v>SP3-P2-01</x:v>
      </x:c>
      <x:c r="L24" s="112" t="str">
        <x:v>Chưa bắt đầu</x:v>
      </x:c>
      <x:c r="M24" s="122" t="str">
        <x:v>Cao</x:v>
      </x:c>
      <x:c r="N24" s="125" t="n">
        <x:f>IF(L24="Hoàn thành",1,IF(L24="Review",0.8,IF(L24="Đang làm",0.5,0)))</x:f>
        <x:v>0</x:v>
      </x:c>
    </x:row>
    <x:row r="25">
      <x:c r="A25" s="110" t="n">
        <x:v>23</x:v>
      </x:c>
      <x:c r="B25" s="111" t="str">
        <x:v>SP3-P2-03</x:v>
      </x:c>
      <x:c r="C25" s="111" t="str">
        <x:v>Sprint 3</x:v>
      </x:c>
      <x:c r="D25" s="111" t="str">
        <x:v>Người 2</x:v>
      </x:c>
      <x:c r="E25" s="112" t="str">
        <x:v>Mobile</x:v>
      </x:c>
      <x:c r="F25" s="112" t="str">
        <x:v>Driver App</x:v>
      </x:c>
      <x:c r="G25" s="112" t="str">
        <x:v>Driver Trip &amp; GPS UI</x:v>
      </x:c>
      <x:c r="H25" s="112" t="str">
        <x:v>Danh sách chuyến; accept/start; stop actions; gửi GPS định kỳ</x:v>
      </x:c>
      <x:c r="I25" s="112" t="n">
        <x:v>2</x:v>
      </x:c>
      <x:c r="J25" s="112" t="str">
        <x:v>feature/sp3-driver-realtime</x:v>
      </x:c>
      <x:c r="K25" s="112" t="str">
        <x:v>SP3-P2-01, SP3-P2-02</x:v>
      </x:c>
      <x:c r="L25" s="112" t="str">
        <x:v>Chưa bắt đầu</x:v>
      </x:c>
      <x:c r="M25" s="122" t="str">
        <x:v>Cao</x:v>
      </x:c>
      <x:c r="N25" s="125" t="n">
        <x:f>IF(L25="Hoàn thành",1,IF(L25="Review",0.8,IF(L25="Đang làm",0.5,0)))</x:f>
        <x:v>0</x:v>
      </x:c>
    </x:row>
    <x:row r="26">
      <x:c r="A26" s="110" t="n">
        <x:v>24</x:v>
      </x:c>
      <x:c r="B26" s="111" t="str">
        <x:v>SP3-P2-04</x:v>
      </x:c>
      <x:c r="C26" s="111" t="str">
        <x:v>Sprint 3</x:v>
      </x:c>
      <x:c r="D26" s="111" t="str">
        <x:v>Người 2</x:v>
      </x:c>
      <x:c r="E26" s="112" t="str">
        <x:v>Mobile</x:v>
      </x:c>
      <x:c r="F26" s="112" t="str">
        <x:v>Passenger App</x:v>
      </x:c>
      <x:c r="G26" s="112" t="str">
        <x:v>Realtime Tracking &amp; Notification</x:v>
      </x:c>
      <x:c r="H26" s="112" t="str">
        <x:v>Theo dõi xe/status/next stop; reconnect WebSocket và REST refresh; notification cơ bản</x:v>
      </x:c>
      <x:c r="I26" s="112" t="n">
        <x:v>1</x:v>
      </x:c>
      <x:c r="J26" s="112" t="str">
        <x:v>feature/sp3-driver-realtime</x:v>
      </x:c>
      <x:c r="K26" s="112" t="str">
        <x:v>SP3-P2-02</x:v>
      </x:c>
      <x:c r="L26" s="112" t="str">
        <x:v>Chưa bắt đầu</x:v>
      </x:c>
      <x:c r="M26" s="122" t="str">
        <x:v>Trung bình</x:v>
      </x:c>
      <x:c r="N26" s="125" t="n">
        <x:f>IF(L26="Hoàn thành",1,IF(L26="Review",0.8,IF(L26="Đang làm",0.5,0)))</x:f>
        <x:v>0</x:v>
      </x:c>
    </x:row>
    <x:row r="27">
      <x:c r="A27" s="114" t="n">
        <x:v>25</x:v>
      </x:c>
      <x:c r="B27" s="43" t="str">
        <x:v>SP4-P1-01</x:v>
      </x:c>
      <x:c r="C27" s="43" t="str">
        <x:v>Sprint 4</x:v>
      </x:c>
      <x:c r="D27" s="43" t="str">
        <x:v>Người 1</x:v>
      </x:c>
      <x:c r="E27" s="52" t="str">
        <x:v>Backend</x:v>
      </x:c>
      <x:c r="F27" s="52" t="str">
        <x:v>Rating/Admin API</x:v>
      </x:c>
      <x:c r="G27" s="52" t="str">
        <x:v>Rating + Dashboard BE</x:v>
      </x:c>
      <x:c r="H27" s="52" t="str">
        <x:v>Rating chỉ cho booking COMPLETED; API thống kê company/trip/booking/completed/cancelled</x:v>
      </x:c>
      <x:c r="I27" s="52" t="n">
        <x:v>2</x:v>
      </x:c>
      <x:c r="J27" s="52" t="str">
        <x:v>feature/sp4-rating-admin</x:v>
      </x:c>
      <x:c r="K27" s="52" t="str">
        <x:v>SP3-P2-01</x:v>
      </x:c>
      <x:c r="L27" s="52" t="str">
        <x:v>Chưa bắt đầu</x:v>
      </x:c>
      <x:c r="M27" s="123" t="str">
        <x:v>Trung bình</x:v>
      </x:c>
      <x:c r="N27" s="125" t="n">
        <x:f>IF(L27="Hoàn thành",1,IF(L27="Review",0.8,IF(L27="Đang làm",0.5,0)))</x:f>
        <x:v>0</x:v>
      </x:c>
    </x:row>
    <x:row r="28">
      <x:c r="A28" s="110" t="n">
        <x:v>26</x:v>
      </x:c>
      <x:c r="B28" s="111" t="str">
        <x:v>SP4-P1-02</x:v>
      </x:c>
      <x:c r="C28" s="111" t="str">
        <x:v>Sprint 4</x:v>
      </x:c>
      <x:c r="D28" s="111" t="str">
        <x:v>Người 1</x:v>
      </x:c>
      <x:c r="E28" s="111" t="str">
        <x:v>Web Frontend</x:v>
      </x:c>
      <x:c r="F28" s="112" t="str">
        <x:v>Admin Web</x:v>
      </x:c>
      <x:c r="G28" s="112" t="str">
        <x:v>Admin Dashboard</x:v>
      </x:c>
      <x:c r="H28" s="112" t="str">
        <x:v>Dashboard số nhà xe/trip/booking; monitoring Trip/Booking; rating summary</x:v>
      </x:c>
      <x:c r="I28" s="111" t="n">
        <x:v>3</x:v>
      </x:c>
      <x:c r="J28" s="112" t="str">
        <x:v>feature/sp4-rating-admin</x:v>
      </x:c>
      <x:c r="K28" s="112" t="str">
        <x:v>SP4-P1-01</x:v>
      </x:c>
      <x:c r="L28" s="112" t="str">
        <x:v>Chưa bắt đầu</x:v>
      </x:c>
      <x:c r="M28" s="112" t="str">
        <x:v>Trung bình</x:v>
      </x:c>
      <x:c r="N28" s="125" t="n">
        <x:f>IF(L28="Hoàn thành",1,IF(L28="Review",0.8,IF(L28="Đang làm",0.5,0)))</x:f>
        <x:v>0</x:v>
      </x:c>
    </x:row>
    <x:row r="29">
      <x:c r="A29" s="110" t="n">
        <x:v>27</x:v>
      </x:c>
      <x:c r="B29" s="111" t="str">
        <x:v>SP4-P1-03</x:v>
      </x:c>
      <x:c r="C29" s="111" t="str">
        <x:v>Sprint 4</x:v>
      </x:c>
      <x:c r="D29" s="111" t="str">
        <x:v>Người 1</x:v>
      </x:c>
      <x:c r="E29" s="111" t="str">
        <x:v>Mobile</x:v>
      </x:c>
      <x:c r="F29" s="112" t="str">
        <x:v>Passenger App</x:v>
      </x:c>
      <x:c r="G29" s="112" t="str">
        <x:v>Rating UI</x:v>
      </x:c>
      <x:c r="H29" s="112" t="str">
        <x:v>Passenger đánh giá Driver/Company sau COMPLETED</x:v>
      </x:c>
      <x:c r="I29" s="111" t="n">
        <x:v>1</x:v>
      </x:c>
      <x:c r="J29" s="112" t="str">
        <x:v>feature/sp4-rating-admin</x:v>
      </x:c>
      <x:c r="K29" s="112" t="str">
        <x:v>SP4-P1-01</x:v>
      </x:c>
      <x:c r="L29" s="112" t="str">
        <x:v>Chưa bắt đầu</x:v>
      </x:c>
      <x:c r="M29" s="112" t="str">
        <x:v>Thấp</x:v>
      </x:c>
      <x:c r="N29" s="125" t="n">
        <x:f>IF(L29="Hoàn thành",1,IF(L29="Review",0.8,IF(L29="Đang làm",0.5,0)))</x:f>
        <x:v>0</x:v>
      </x:c>
    </x:row>
    <x:row r="30">
      <x:c r="A30" s="110" t="n">
        <x:v>28</x:v>
      </x:c>
      <x:c r="B30" s="111" t="str">
        <x:v>SP4-P1-04</x:v>
      </x:c>
      <x:c r="C30" s="111" t="str">
        <x:v>Sprint 4</x:v>
      </x:c>
      <x:c r="D30" s="111" t="str">
        <x:v>Người 1</x:v>
      </x:c>
      <x:c r="E30" s="111" t="str">
        <x:v>Testing</x:v>
      </x:c>
      <x:c r="F30" s="112" t="str">
        <x:v>API/Module Tests</x:v>
      </x:c>
      <x:c r="G30" s="112" t="str">
        <x:v>Test + Swagger/OpenAPI</x:v>
      </x:c>
      <x:c r="H30" s="112" t="str">
        <x:v>Rà authorization, search, optimizer integration, rating/admin APIs; cập nhật API docs</x:v>
      </x:c>
      <x:c r="I30" s="111" t="n">
        <x:v>2</x:v>
      </x:c>
      <x:c r="J30" s="112" t="str">
        <x:v>feature/sp4-rating-admin</x:v>
      </x:c>
      <x:c r="K30" s="112" t="str">
        <x:v>SP4-P1-01</x:v>
      </x:c>
      <x:c r="L30" s="112" t="str">
        <x:v>Chưa bắt đầu</x:v>
      </x:c>
      <x:c r="M30" s="112" t="str">
        <x:v>Cao</x:v>
      </x:c>
      <x:c r="N30" s="125" t="n">
        <x:f>IF(L30="Hoàn thành",1,IF(L30="Review",0.8,IF(L30="Đang làm",0.5,0)))</x:f>
        <x:v>0</x:v>
      </x:c>
    </x:row>
    <x:row r="31">
      <x:c r="A31" s="110" t="n">
        <x:v>29</x:v>
      </x:c>
      <x:c r="B31" s="111" t="str">
        <x:v>SP4-P2-01</x:v>
      </x:c>
      <x:c r="C31" s="111" t="str">
        <x:v>Sprint 4</x:v>
      </x:c>
      <x:c r="D31" s="111" t="str">
        <x:v>Người 2</x:v>
      </x:c>
      <x:c r="E31" s="111" t="str">
        <x:v>Backend</x:v>
      </x:c>
      <x:c r="F31" s="112" t="str">
        <x:v>Incident/Report API</x:v>
      </x:c>
      <x:c r="G31" s="112" t="str">
        <x:v>Incident &amp; Report BE</x:v>
      </x:c>
      <x:c r="H31" s="112" t="str">
        <x:v>Driver báo sự cố; operator/admin xem report cơ bản; lưu trạng thái sự cố</x:v>
      </x:c>
      <x:c r="I31" s="111" t="n">
        <x:v>1</x:v>
      </x:c>
      <x:c r="J31" s="112" t="str">
        <x:v>feature/sp4-stabilize-devops</x:v>
      </x:c>
      <x:c r="K31" s="112" t="str">
        <x:v>SP3-P2-01</x:v>
      </x:c>
      <x:c r="L31" s="112" t="str">
        <x:v>Chưa bắt đầu</x:v>
      </x:c>
      <x:c r="M31" s="112" t="str">
        <x:v>Thấp</x:v>
      </x:c>
      <x:c r="N31" s="125" t="n">
        <x:f>IF(L31="Hoàn thành",1,IF(L31="Review",0.8,IF(L31="Đang làm",0.5,0)))</x:f>
        <x:v>0</x:v>
      </x:c>
    </x:row>
    <x:row r="32">
      <x:c r="A32" s="110" t="n">
        <x:v>30</x:v>
      </x:c>
      <x:c r="B32" s="111" t="str">
        <x:v>SP4-P2-02</x:v>
      </x:c>
      <x:c r="C32" s="111" t="str">
        <x:v>Sprint 4</x:v>
      </x:c>
      <x:c r="D32" s="111" t="str">
        <x:v>Người 2</x:v>
      </x:c>
      <x:c r="E32" s="111" t="str">
        <x:v>Web Frontend</x:v>
      </x:c>
      <x:c r="F32" s="112" t="str">
        <x:v>Company/Admin Web</x:v>
      </x:c>
      <x:c r="G32" s="112" t="str">
        <x:v>Trip Monitoring UI</x:v>
      </x:c>
      <x:c r="H32" s="112" t="str">
        <x:v>Màn theo dõi trip active, incident, driver/location trạng thái cơ bản</x:v>
      </x:c>
      <x:c r="I32" s="111" t="n">
        <x:v>1</x:v>
      </x:c>
      <x:c r="J32" s="112" t="str">
        <x:v>feature/sp4-stabilize-devops</x:v>
      </x:c>
      <x:c r="K32" s="112" t="str">
        <x:v>SP3-P2-02, SP4-P2-01</x:v>
      </x:c>
      <x:c r="L32" s="112" t="str">
        <x:v>Chưa bắt đầu</x:v>
      </x:c>
      <x:c r="M32" s="112" t="str">
        <x:v>Trung bình</x:v>
      </x:c>
      <x:c r="N32" s="125" t="n">
        <x:f>IF(L32="Hoàn thành",1,IF(L32="Review",0.8,IF(L32="Đang làm",0.5,0)))</x:f>
        <x:v>0</x:v>
      </x:c>
    </x:row>
    <x:row r="33">
      <x:c r="A33" s="110" t="n">
        <x:v>31</x:v>
      </x:c>
      <x:c r="B33" s="111" t="str">
        <x:v>SP4-P2-03</x:v>
      </x:c>
      <x:c r="C33" s="111" t="str">
        <x:v>Sprint 4</x:v>
      </x:c>
      <x:c r="D33" s="111" t="str">
        <x:v>Người 2</x:v>
      </x:c>
      <x:c r="E33" s="111" t="str">
        <x:v>Testing</x:v>
      </x:c>
      <x:c r="F33" s="112" t="str">
        <x:v>E2E</x:v>
      </x:c>
      <x:c r="G33" s="112" t="str">
        <x:v>End-to-end journey test</x:v>
      </x:c>
      <x:c r="H33" s="112" t="str">
        <x:v>Company → Trip → Search → Booking → Optimizer → Driver → Pickup/Dropoff → Complete</x:v>
      </x:c>
      <x:c r="I33" s="111" t="n">
        <x:v>2</x:v>
      </x:c>
      <x:c r="J33" s="112" t="str">
        <x:v>feature/sp4-stabilize-devops</x:v>
      </x:c>
      <x:c r="K33" s="112" t="str">
        <x:v>SP3-P1-03, SP3-P2-04</x:v>
      </x:c>
      <x:c r="L33" s="112" t="str">
        <x:v>Chưa bắt đầu</x:v>
      </x:c>
      <x:c r="M33" s="112" t="str">
        <x:v>Cao</x:v>
      </x:c>
      <x:c r="N33" s="125" t="n">
        <x:f>IF(L33="Hoàn thành",1,IF(L33="Review",0.8,IF(L33="Đang làm",0.5,0)))</x:f>
        <x:v>0</x:v>
      </x:c>
    </x:row>
    <x:row r="34">
      <x:c r="A34" s="110" t="n">
        <x:v>32</x:v>
      </x:c>
      <x:c r="B34" s="111" t="str">
        <x:v>SP4-P2-04</x:v>
      </x:c>
      <x:c r="C34" s="111" t="str">
        <x:v>Sprint 4</x:v>
      </x:c>
      <x:c r="D34" s="111" t="str">
        <x:v>Người 2</x:v>
      </x:c>
      <x:c r="E34" s="111" t="str">
        <x:v>DevOps</x:v>
      </x:c>
      <x:c r="F34" s="112" t="str">
        <x:v>Docker/CI</x:v>
      </x:c>
      <x:c r="G34" s="112" t="str">
        <x:v>Docker Compose + CI/CD</x:v>
      </x:c>
      <x:c r="H34" s="112" t="str">
        <x:v>Container backend/optimizer/db/web; GitHub Actions/Jenkins build/test trên PR</x:v>
      </x:c>
      <x:c r="I34" s="111" t="n">
        <x:v>2</x:v>
      </x:c>
      <x:c r="J34" s="112" t="str">
        <x:v>feature/sp4-stabilize-devops</x:v>
      </x:c>
      <x:c r="K34" s="112" t="str">
        <x:v>SP4-P2-03</x:v>
      </x:c>
      <x:c r="L34" s="112" t="str">
        <x:v>Chưa bắt đầu</x:v>
      </x:c>
      <x:c r="M34" s="112" t="str">
        <x:v>Cao</x:v>
      </x:c>
      <x:c r="N34" s="125" t="n">
        <x:f>IF(L34="Hoàn thành",1,IF(L34="Review",0.8,IF(L34="Đang làm",0.5,0)))</x:f>
        <x:v>0</x:v>
      </x:c>
    </x:row>
    <x:row r="35">
      <x:c r="A35" s="126" t="n">
        <x:v>33</x:v>
      </x:c>
      <x:c r="B35" s="127" t="str">
        <x:v>SP4-P2-05</x:v>
      </x:c>
      <x:c r="C35" s="127" t="str">
        <x:v>Sprint 4</x:v>
      </x:c>
      <x:c r="D35" s="127" t="str">
        <x:v>Người 2</x:v>
      </x:c>
      <x:c r="E35" s="127" t="str">
        <x:v>Mobile</x:v>
      </x:c>
      <x:c r="F35" s="128" t="str">
        <x:v>Passenger/Driver App</x:v>
      </x:c>
      <x:c r="G35" s="128" t="str">
        <x:v>Mobile UI/Realtime polish</x:v>
      </x:c>
      <x:c r="H35" s="128" t="str">
        <x:v>Fix UI luồng Driver/Passenger; reconnect/location stale; chuẩn bị demo</x:v>
      </x:c>
      <x:c r="I35" s="127" t="n">
        <x:v>2</x:v>
      </x:c>
      <x:c r="J35" s="128" t="str">
        <x:v>feature/sp4-stabilize-devops</x:v>
      </x:c>
      <x:c r="K35" s="128" t="str">
        <x:v>SP3-P2-03, SP3-P2-04</x:v>
      </x:c>
      <x:c r="L35" s="128" t="str">
        <x:v>Chưa bắt đầu</x:v>
      </x:c>
      <x:c r="M35" s="128" t="str">
        <x:v>Trung bình</x:v>
      </x:c>
      <x:c r="N35" s="129" t="n">
        <x:f>IF(L35="Hoàn thành",1,IF(L35="Review",0.8,IF(L35="Đang làm",0.5,0)))</x:f>
        <x:v>0</x:v>
      </x:c>
    </x:row>
  </x:sheetData>
  <x:mergeCells>
    <x:mergeCell ref="A1:M1"/>
    <x:mergeCell ref="A1:N1"/>
  </x:mergeCells>
  <x:conditionalFormatting sqref="J3:J27">
    <x:cfRule type="expression" dxfId="0" priority="1">
      <x:formula>J3="Hoàn thành"</x:formula>
    </x:cfRule>
    <x:cfRule type="expression" dxfId="1" priority="2">
      <x:formula>J3="Đang làm"</x:formula>
    </x:cfRule>
    <x:cfRule type="expression" dxfId="2" priority="3">
      <x:formula>J3="Blocked"</x:formula>
    </x:cfRule>
  </x:conditionalFormatting>
  <x:conditionalFormatting sqref="M3:M27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{50EBC87E-A795-968F-31D0-2C29B50C2699}</x14:id>
        </x:ext>
      </x:extLst>
    </x:cfRule>
  </x:conditionalFormatting>
  <x:conditionalFormatting sqref="L3:L35">
    <x:cfRule type="expression" dxfId="3" priority="5">
      <x:formula>L3="Hoàn thành"</x:formula>
    </x:cfRule>
    <x:cfRule type="expression" dxfId="4" priority="6">
      <x:formula>L3="Đang làm"</x:formula>
    </x:cfRule>
    <x:cfRule type="expression" dxfId="5" priority="7">
      <x:formula>L3="Blocked"</x:formula>
    </x:cfRule>
  </x:conditionalFormatting>
  <x:conditionalFormatting sqref="N3:N35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{32B8569C-88B7-7FBA-B1C6-9716F61C04EA}</x14:id>
        </x:ext>
      </x:extLst>
    </x:cfRule>
  </x:conditionalFormatting>
  <x:conditionalFormatting sqref="E3:E35">
    <x:cfRule type="expression" dxfId="6" priority="9">
      <x:formula>E3="Backend"</x:formula>
    </x:cfRule>
    <x:cfRule type="expression" dxfId="7" priority="10">
      <x:formula>E3="Web Frontend"</x:formula>
    </x:cfRule>
    <x:cfRule type="expression" dxfId="8" priority="11">
      <x:formula>E3="Mobile"</x:formula>
    </x:cfRule>
    <x:cfRule type="expression" dxfId="9" priority="12">
      <x:formula>E3="Optimizer"</x:formula>
    </x:cfRule>
    <x:cfRule type="expression" dxfId="10" priority="13">
      <x:formula>E3="Testing"</x:formula>
    </x:cfRule>
    <x:cfRule type="expression" dxfId="11" priority="14">
      <x:formula>E3="DevOps"</x:formula>
    </x:cfRule>
  </x:conditionalFormatting>
  <x:dataValidations count="7">
    <x:dataValidation type="list" sqref="J3:J27">
      <x:formula1>"Chưa bắt đầu,Đang làm,Review,Hoàn thành,Blocked"</x:formula1>
    </x:dataValidation>
    <x:dataValidation type="list" sqref="K3:K27">
      <x:formula1>"Cao,Trung bình,Thấp"</x:formula1>
    </x:dataValidation>
    <x:dataValidation type="list" sqref="D3:D27">
      <x:formula1>"Người 1,Người 2"</x:formula1>
    </x:dataValidation>
    <x:dataValidation type="list" sqref="D3:D35">
      <x:formula1>"Người 1,Người 2"</x:formula1>
    </x:dataValidation>
    <x:dataValidation type="list" sqref="E3:E35">
      <x:formula1>"Backend,Web Frontend,Mobile,Optimizer,Testing,DevOps"</x:formula1>
    </x:dataValidation>
    <x:dataValidation type="list" sqref="L3:L35">
      <x:formula1>"Chưa bắt đầu,Đang làm,Review,Hoàn thành,Blocked"</x:formula1>
    </x:dataValidation>
    <x:dataValidation type="list" sqref="M3:M35">
      <x:formula1>"Cao,Trung bình,Thấp"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0EBC87E-A795-968F-31D0-2C29B50C2699}">
            <x14:dataBar gradient="1">
              <x14:cfvo type="min"/>
              <x14:cfvo type="max"/>
              <x14:fillColor rgb="FF5B9BD5"/>
            </x14:dataBar>
          </x14:cfRule>
          <xm:sqref>M3:M27</xm:sqref>
        </x14:conditionalFormatting>
        <x14:conditionalFormatting>
          <x14:cfRule type="dataBar" priority="8" id="{32B8569C-88B7-7FBA-B1C6-9716F61C04EA}">
            <x14:dataBar gradient="1">
              <x14:cfvo type="min"/>
              <x14:cfvo type="max"/>
              <x14:fillColor rgb="FF5B9BD5"/>
            </x14:dataBar>
          </x14:cfRule>
          <xm:sqref>N3:N35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4" max="4" width="15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</x:cols>
  <x:sheetData>
    <x:row r="1">
      <x:c r="A1" s="5" t="str">
        <x:v>RIDESHAREHUB — DASHBOARD TIẾN ĐỘ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KPI</x:v>
      </x:c>
      <x:c r="B3" s="14" t="str">
        <x:v>Giá trị</x:v>
      </x:c>
      <x:c r="D3" s="22" t="str">
        <x:v>Sprint</x:v>
      </x:c>
      <x:c r="E3" s="23" t="str">
        <x:v>Người 1</x:v>
      </x:c>
      <x:c r="F3" s="23" t="str">
        <x:v>Người 2</x:v>
      </x:c>
      <x:c r="G3" s="23" t="str">
        <x:v>Tổng điểm</x:v>
      </x:c>
      <x:c r="H3" s="24" t="str">
        <x:v>% hoàn thành</x:v>
      </x:c>
    </x:row>
    <x:row r="4">
      <x:c r="A4" s="55" t="str">
        <x:v>Tổng Story Points</x:v>
      </x:c>
      <x:c r="B4" s="56" t="n">
        <x:f>SUM('Kế hoạch Sprint'!I3:I35)</x:f>
        <x:v>64</x:v>
      </x:c>
      <x:c r="D4" s="25" t="str">
        <x:v>Sprint 1</x:v>
      </x:c>
      <x:c r="E4" s="26" t="n">
        <x:f>SUMIFS('Kế hoạch Sprint'!I3:I35,'Kế hoạch Sprint'!C3:C35,D4,'Kế hoạch Sprint'!D3:D35,"Người 1")</x:f>
        <x:v>8</x:v>
      </x:c>
      <x:c r="F4" s="26" t="n">
        <x:f>SUMIFS('Kế hoạch Sprint'!I3:I35,'Kế hoạch Sprint'!C3:C35,D4,'Kế hoạch Sprint'!D3:D35,"Người 2")</x:f>
        <x:v>8</x:v>
      </x:c>
      <x:c r="G4" s="26" t="n">
        <x:f>E4+F4</x:f>
        <x:v>16</x:v>
      </x:c>
      <x:c r="H4" s="27" t="n">
        <x:f>SUMPRODUCT(('Kế hoạch Sprint'!C3:C35=D4)*'Kế hoạch Sprint'!I3:I35*'Kế hoạch Sprint'!N3:N35)/SUMIF('Kế hoạch Sprint'!C3:C35,D4,'Kế hoạch Sprint'!I3:I35)</x:f>
        <x:v>0</x:v>
      </x:c>
    </x:row>
    <x:row r="5">
      <x:c r="A5" s="25" t="str">
        <x:v>Người 1</x:v>
      </x:c>
      <x:c r="B5" s="57" t="n">
        <x:f>SUMIF('Kế hoạch Sprint'!D3:D35,"Người 1",'Kế hoạch Sprint'!I3:I35)</x:f>
        <x:v>32</x:v>
      </x:c>
      <x:c r="D5" s="25" t="str">
        <x:v>Sprint 2</x:v>
      </x:c>
      <x:c r="E5" s="26" t="n">
        <x:f>SUMIFS('Kế hoạch Sprint'!I3:I35,'Kế hoạch Sprint'!C3:C35,D5,'Kế hoạch Sprint'!D3:D35,"Người 1")</x:f>
        <x:v>8</x:v>
      </x:c>
      <x:c r="F5" s="26" t="n">
        <x:f>SUMIFS('Kế hoạch Sprint'!I3:I35,'Kế hoạch Sprint'!C3:C35,D5,'Kế hoạch Sprint'!D3:D35,"Người 2")</x:f>
        <x:v>8</x:v>
      </x:c>
      <x:c r="G5" s="26" t="n">
        <x:f>E5+F5</x:f>
        <x:v>16</x:v>
      </x:c>
      <x:c r="H5" s="27" t="n">
        <x:f>SUMPRODUCT(('Kế hoạch Sprint'!C3:C35=D5)*'Kế hoạch Sprint'!I3:I35*'Kế hoạch Sprint'!N3:N35)/SUMIF('Kế hoạch Sprint'!C3:C35,D5,'Kế hoạch Sprint'!I3:I35)</x:f>
        <x:v>0</x:v>
      </x:c>
    </x:row>
    <x:row r="6">
      <x:c r="A6" s="25" t="str">
        <x:v>Người 2</x:v>
      </x:c>
      <x:c r="B6" s="57" t="n">
        <x:f>SUMIF('Kế hoạch Sprint'!D3:D35,"Người 2",'Kế hoạch Sprint'!I3:I35)</x:f>
        <x:v>32</x:v>
      </x:c>
      <x:c r="D6" s="25" t="str">
        <x:v>Sprint 3</x:v>
      </x:c>
      <x:c r="E6" s="26" t="n">
        <x:f>SUMIFS('Kế hoạch Sprint'!I3:I35,'Kế hoạch Sprint'!C3:C35,D6,'Kế hoạch Sprint'!D3:D35,"Người 1")</x:f>
        <x:v>8</x:v>
      </x:c>
      <x:c r="F6" s="26" t="n">
        <x:f>SUMIFS('Kế hoạch Sprint'!I3:I35,'Kế hoạch Sprint'!C3:C35,D6,'Kế hoạch Sprint'!D3:D35,"Người 2")</x:f>
        <x:v>8</x:v>
      </x:c>
      <x:c r="G6" s="26" t="n">
        <x:f>E6+F6</x:f>
        <x:v>16</x:v>
      </x:c>
      <x:c r="H6" s="27" t="n">
        <x:f>SUMPRODUCT(('Kế hoạch Sprint'!C3:C35=D6)*'Kế hoạch Sprint'!I3:I35*'Kế hoạch Sprint'!N3:N35)/SUMIF('Kế hoạch Sprint'!C3:C35,D6,'Kế hoạch Sprint'!I3:I35)</x:f>
        <x:v>0</x:v>
      </x:c>
    </x:row>
    <x:row r="7">
      <x:c r="A7" s="28" t="str">
        <x:v>Tỷ lệ hoàn thành</x:v>
      </x:c>
      <x:c r="B7" s="30" t="n">
        <x:f>SUMPRODUCT('Kế hoạch Sprint'!I3:I35,'Kế hoạch Sprint'!N3:N35)/SUM('Kế hoạch Sprint'!I3:I35)</x:f>
        <x:v>0</x:v>
      </x:c>
      <x:c r="D7" s="28" t="str">
        <x:v>Sprint 4</x:v>
      </x:c>
      <x:c r="E7" s="29" t="n">
        <x:f>SUMIFS('Kế hoạch Sprint'!I3:I35,'Kế hoạch Sprint'!C3:C35,D7,'Kế hoạch Sprint'!D3:D35,"Người 1")</x:f>
        <x:v>8</x:v>
      </x:c>
      <x:c r="F7" s="29" t="n">
        <x:f>SUMIFS('Kế hoạch Sprint'!I3:I35,'Kế hoạch Sprint'!C3:C35,D7,'Kế hoạch Sprint'!D3:D35,"Người 2")</x:f>
        <x:v>8</x:v>
      </x:c>
      <x:c r="G7" s="29" t="n">
        <x:f>E7+F7</x:f>
        <x:v>16</x:v>
      </x:c>
      <x:c r="H7" s="30" t="n">
        <x:f>SUMPRODUCT(('Kế hoạch Sprint'!C3:C35=D7)*'Kế hoạch Sprint'!I3:I35*'Kế hoạch Sprint'!N3:N35)/SUMIF('Kế hoạch Sprint'!C3:C35,D7,'Kế hoạch Sprint'!I3:I35)</x:f>
        <x:v>0</x:v>
      </x:c>
    </x:row>
    <x:row r="10">
      <x:c r="A10" s="65" t="str">
        <x:v>MỤC TIÊU DEMO CUỐI MỖI SPRINT</x:v>
      </x:c>
      <x:c r="B10" s="65"/>
      <x:c r="C10" s="65"/>
      <x:c r="D10" s="65"/>
      <x:c r="E10" s="65"/>
      <x:c r="F10" s="65"/>
      <x:c r="G10" s="65"/>
      <x:c r="H10" s="65"/>
    </x:row>
    <x:row r="11">
      <x:c r="A11" s="77" t="str">
        <x:v>Sprint 1</x:v>
      </x:c>
      <x:c r="B11" s="83" t="str">
        <x:v>Company đăng ký → Admin duyệt → Vehicle + Driver → Route → Trip → Publish</x:v>
      </x:c>
    </x:row>
    <x:row r="12">
      <x:c r="A12" s="78" t="str">
        <x:v>Sprint 2</x:v>
      </x:c>
      <x:c r="B12" s="84" t="str">
        <x:v>Passenger search nhiều nhà xe → xem Trip → book ghế → chống overbooking</x:v>
      </x:c>
    </x:row>
    <x:row r="13">
      <x:c r="A13" s="78" t="str">
        <x:v>Sprint 3</x:v>
      </x:c>
      <x:c r="B13" s="84" t="str">
        <x:v>Nhiều pickup/dropoff → optimizer → Driver chạy chuyến → GPS/WebSocket realtime</x:v>
      </x:c>
    </x:row>
    <x:row r="14">
      <x:c r="A14" s="79" t="str">
        <x:v>Sprint 4</x:v>
      </x:c>
      <x:c r="B14" s="85" t="str">
        <x:v>E2E hoàn chỉnh → rating/dashboard → test → Docker/CI → demo MVP</x:v>
      </x:c>
    </x:row>
    <x:row r="17">
      <x:c r="A17" s="141" t="str">
        <x:v>PHÂN BỔ THEO LAYER</x:v>
      </x:c>
      <x:c r="B17" s="141"/>
      <x:c r="C17" s="141"/>
      <x:c r="D17" s="141"/>
      <x:c r="E17" s="141"/>
      <x:c r="F17" s="141"/>
    </x:row>
    <x:row r="18">
      <x:c r="A18" s="142" t="str">
        <x:v>Layer</x:v>
      </x:c>
      <x:c r="B18" s="136" t="str">
        <x:v>Người 1</x:v>
      </x:c>
      <x:c r="C18" s="136" t="str">
        <x:v>Người 2</x:v>
      </x:c>
      <x:c r="D18" s="136" t="str">
        <x:v>Tổng SP</x:v>
      </x:c>
      <x:c r="E18" s="136" t="str">
        <x:v>Tỷ trọng</x:v>
      </x:c>
      <x:c r="F18" s="137" t="str">
        <x:v>Ghi chú</x:v>
      </x:c>
    </x:row>
    <x:row r="19">
      <x:c r="A19" s="115" t="str">
        <x:v>Backend</x:v>
      </x:c>
      <x:c r="B19" s="116" t="n">
        <x:f>SUMIFS('Kế hoạch Sprint'!I:I,'Kế hoạch Sprint'!D:D,"Người 1",'Kế hoạch Sprint'!E:E,A19)</x:f>
        <x:v>14</x:v>
      </x:c>
      <x:c r="C19" s="116" t="n">
        <x:f>SUMIFS('Kế hoạch Sprint'!I:I,'Kế hoạch Sprint'!D:D,"Người 2",'Kế hoạch Sprint'!E:E,A19)</x:f>
        <x:v>14</x:v>
      </x:c>
      <x:c r="D19" s="116" t="n">
        <x:f>B19+C19</x:f>
        <x:v>28</x:v>
      </x:c>
      <x:c r="E19" s="143" t="n">
        <x:f>D19/$B$4</x:f>
        <x:v>0.4375</x:v>
      </x:c>
      <x:c r="F19" s="133" t="str">
        <x:v>Spring Boot API, business rules, transaction/RBAC</x:v>
      </x:c>
    </x:row>
    <x:row r="20">
      <x:c r="A20" s="115" t="str">
        <x:v>Web Frontend</x:v>
      </x:c>
      <x:c r="B20" s="116" t="n">
        <x:f>SUMIFS('Kế hoạch Sprint'!I:I,'Kế hoạch Sprint'!D:D,"Người 1",'Kế hoạch Sprint'!E:E,A20)</x:f>
        <x:v>7</x:v>
      </x:c>
      <x:c r="C20" s="116" t="n">
        <x:f>SUMIFS('Kế hoạch Sprint'!I:I,'Kế hoạch Sprint'!D:D,"Người 2",'Kế hoạch Sprint'!E:E,A20)</x:f>
        <x:v>5</x:v>
      </x:c>
      <x:c r="D20" s="116" t="n">
        <x:f>B20+C20</x:f>
        <x:v>12</x:v>
      </x:c>
      <x:c r="E20" s="143" t="n">
        <x:f>D20/$B$4</x:f>
        <x:v>0.1875</x:v>
      </x:c>
      <x:c r="F20" s="133" t="str">
        <x:v>Web nhà xe/Admin bằng React + TypeScript</x:v>
      </x:c>
    </x:row>
    <x:row r="21">
      <x:c r="A21" s="115" t="str">
        <x:v>Mobile</x:v>
      </x:c>
      <x:c r="B21" s="116" t="n">
        <x:f>SUMIFS('Kế hoạch Sprint'!I:I,'Kế hoạch Sprint'!D:D,"Người 1",'Kế hoạch Sprint'!E:E,A21)</x:f>
        <x:v>6</x:v>
      </x:c>
      <x:c r="C21" s="116" t="n">
        <x:f>SUMIFS('Kế hoạch Sprint'!I:I,'Kế hoạch Sprint'!D:D,"Người 2",'Kế hoạch Sprint'!E:E,A21)</x:f>
        <x:v>8</x:v>
      </x:c>
      <x:c r="D21" s="116" t="n">
        <x:f>B21+C21</x:f>
        <x:v>14</x:v>
      </x:c>
      <x:c r="E21" s="143" t="n">
        <x:f>D21/$B$4</x:f>
        <x:v>0.21875</x:v>
      </x:c>
      <x:c r="F21" s="133" t="str">
        <x:v>Passenger/Driver app React Native + Expo</x:v>
      </x:c>
    </x:row>
    <x:row r="22">
      <x:c r="A22" s="115" t="str">
        <x:v>Optimizer</x:v>
      </x:c>
      <x:c r="B22" s="116" t="n">
        <x:f>SUMIFS('Kế hoạch Sprint'!I:I,'Kế hoạch Sprint'!D:D,"Người 1",'Kế hoạch Sprint'!E:E,A22)</x:f>
        <x:v>3</x:v>
      </x:c>
      <x:c r="C22" s="116" t="n">
        <x:f>SUMIFS('Kế hoạch Sprint'!I:I,'Kế hoạch Sprint'!D:D,"Người 2",'Kế hoạch Sprint'!E:E,A22)</x:f>
        <x:v>0</x:v>
      </x:c>
      <x:c r="D22" s="116" t="n">
        <x:f>B22+C22</x:f>
        <x:v>3</x:v>
      </x:c>
      <x:c r="E22" s="143" t="n">
        <x:f>D22/$B$4</x:f>
        <x:v>0.046875</x:v>
      </x:c>
      <x:c r="F22" s="133" t="str">
        <x:v>FastAPI + OR-Tools cho route optimization</x:v>
      </x:c>
    </x:row>
    <x:row r="23">
      <x:c r="A23" s="115" t="str">
        <x:v>Testing</x:v>
      </x:c>
      <x:c r="B23" s="116" t="n">
        <x:f>SUMIFS('Kế hoạch Sprint'!I:I,'Kế hoạch Sprint'!D:D,"Người 1",'Kế hoạch Sprint'!E:E,A23)</x:f>
        <x:v>2</x:v>
      </x:c>
      <x:c r="C23" s="116" t="n">
        <x:f>SUMIFS('Kế hoạch Sprint'!I:I,'Kế hoạch Sprint'!D:D,"Người 2",'Kế hoạch Sprint'!E:E,A23)</x:f>
        <x:v>3</x:v>
      </x:c>
      <x:c r="D23" s="116" t="n">
        <x:f>B23+C23</x:f>
        <x:v>5</x:v>
      </x:c>
      <x:c r="E23" s="143" t="n">
        <x:f>D23/$B$4</x:f>
        <x:v>0.078125</x:v>
      </x:c>
      <x:c r="F23" s="133" t="str">
        <x:v>Unit/Integration/E2E/constraint tests</x:v>
      </x:c>
    </x:row>
    <x:row r="24">
      <x:c r="A24" s="117" t="str">
        <x:v>DevOps</x:v>
      </x:c>
      <x:c r="B24" s="118" t="n">
        <x:f>SUMIFS('Kế hoạch Sprint'!I:I,'Kế hoạch Sprint'!D:D,"Người 1",'Kế hoạch Sprint'!E:E,A24)</x:f>
        <x:v>0</x:v>
      </x:c>
      <x:c r="C24" s="118" t="n">
        <x:f>SUMIFS('Kế hoạch Sprint'!I:I,'Kế hoạch Sprint'!D:D,"Người 2",'Kế hoạch Sprint'!E:E,A24)</x:f>
        <x:v>2</x:v>
      </x:c>
      <x:c r="D24" s="118" t="n">
        <x:f>B24+C24</x:f>
        <x:v>2</x:v>
      </x:c>
      <x:c r="E24" s="144" t="n">
        <x:f>D24/$B$4</x:f>
        <x:v>0.03125</x:v>
      </x:c>
      <x:c r="F24" s="134" t="str">
        <x:v>Docker Compose + CI/CD</x:v>
      </x:c>
    </x:row>
  </x:sheetData>
  <x:mergeCells>
    <x:mergeCell ref="A1:H1"/>
    <x:mergeCell ref="A10:H10"/>
    <x:mergeCell ref="A17:F17"/>
  </x:mergeCells>
  <x:pageMargins left="0.7" right="0.7" top="0.75" bottom="0.75" header="0.3" footer="0.3"/>
  <x:drawing xmlns:r="http://schemas.openxmlformats.org/officeDocument/2006/relationships" r:id="R0269f78bfbf545c7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30" hidden="0" customWidth="1"/>
    <x:col min="4" max="4" width="30" hidden="0" customWidth="1"/>
    <x:col min="5" max="5" width="32" hidden="0" customWidth="1"/>
    <x:col min="6" max="6" width="24" hidden="0" customWidth="1"/>
    <x:col min="7" max="7" width="28" hidden="0" customWidth="1"/>
    <x:col min="8" max="8" width="10" hidden="0" customWidth="1"/>
    <x:col min="9" max="9" width="30" hidden="0" customWidth="1"/>
    <x:col min="10" max="10" width="35" hidden="0" customWidth="1"/>
  </x:cols>
  <x:sheetData>
    <x:row r="1">
      <x:c r="A1" s="94" t="str">
        <x:v>PHÂN CÔNG 2 NGƯỜI THEO SPRINT &amp; LAYER</x:v>
      </x:c>
      <x:c r="B1" s="94"/>
      <x:c r="C1" s="94"/>
      <x:c r="D1" s="94"/>
      <x:c r="E1" s="94"/>
      <x:c r="F1" s="94"/>
      <x:c r="G1" s="94"/>
      <x:c r="H1" s="94"/>
      <x:c r="I1" s="94"/>
      <x:c r="J1" s="94"/>
    </x:row>
    <x:row r="3">
      <x:c r="A3" s="106" t="str">
        <x:v>Người</x:v>
      </x:c>
      <x:c r="B3" s="107" t="str">
        <x:v>Sprint</x:v>
      </x:c>
      <x:c r="C3" s="107" t="str">
        <x:v>Backend</x:v>
      </x:c>
      <x:c r="D3" s="107" t="str">
        <x:v>Web Frontend</x:v>
      </x:c>
      <x:c r="E3" s="107" t="str">
        <x:v>Mobile</x:v>
      </x:c>
      <x:c r="F3" s="108" t="str">
        <x:v>Optimizer</x:v>
      </x:c>
      <x:c r="G3" s="107" t="str">
        <x:v>Testing/DevOps</x:v>
      </x:c>
      <x:c r="H3" s="107" t="str">
        <x:v>Tổng SP</x:v>
      </x:c>
      <x:c r="I3" s="107" t="str">
        <x:v>Branch chính</x:v>
      </x:c>
      <x:c r="J3" s="109" t="str">
        <x:v>Kết quả bàn giao</x:v>
      </x:c>
    </x:row>
    <x:row r="4">
      <x:c r="A4" s="115" t="str">
        <x:v>Người 1</x:v>
      </x:c>
      <x:c r="B4" s="116" t="str">
        <x:v>Sprint 1</x:v>
      </x:c>
      <x:c r="C4" s="120" t="str">
        <x:v>Auth/RBAC; Company; Vehicle</x:v>
      </x:c>
      <x:c r="D4" s="120" t="str">
        <x:v>Admin duyệt nhà xe; Company Vehicle UI</x:v>
      </x:c>
      <x:c r="E4" s="120" t="str">
        <x:v>—</x:v>
      </x:c>
      <x:c r="F4" s="84" t="str">
        <x:v>—</x:v>
      </x:c>
      <x:c r="G4" s="120" t="str">
        <x:v>—</x:v>
      </x:c>
      <x:c r="H4" s="120" t="n">
        <x:v>8</x:v>
      </x:c>
      <x:c r="I4" s="120" t="str">
        <x:v>feature/sp1-company-auth-vehicle</x:v>
      </x:c>
      <x:c r="J4" s="133" t="str">
        <x:v>Company được duyệt, có Vehicle và phân quyền hoạt động</x:v>
      </x:c>
    </x:row>
    <x:row r="5">
      <x:c r="A5" s="115" t="str">
        <x:v>Người 2</x:v>
      </x:c>
      <x:c r="B5" s="116" t="str">
        <x:v>Sprint 1</x:v>
      </x:c>
      <x:c r="C5" s="120" t="str">
        <x:v>Driver; Route; Trip</x:v>
      </x:c>
      <x:c r="D5" s="120" t="str">
        <x:v>Driver/Route/Trip Management</x:v>
      </x:c>
      <x:c r="E5" s="120" t="str">
        <x:v>Mobile skeleton + login role-based</x:v>
      </x:c>
      <x:c r="F5" s="84" t="str">
        <x:v>—</x:v>
      </x:c>
      <x:c r="G5" s="120" t="str">
        <x:v>—</x:v>
      </x:c>
      <x:c r="H5" s="120" t="n">
        <x:v>8</x:v>
      </x:c>
      <x:c r="I5" s="120" t="str">
        <x:v>feature/sp1-driver-route-trip</x:v>
      </x:c>
      <x:c r="J5" s="133" t="str">
        <x:v>Trip hợp lệ được publish; mobile login chạy</x:v>
      </x:c>
    </x:row>
    <x:row r="6">
      <x:c r="A6" s="115" t="str">
        <x:v>Người 1</x:v>
      </x:c>
      <x:c r="B6" s="116" t="str">
        <x:v>Sprint 2</x:v>
      </x:c>
      <x:c r="C6" s="120" t="str">
        <x:v>Search API; Fare API</x:v>
      </x:c>
      <x:c r="D6" s="120" t="str">
        <x:v>—</x:v>
      </x:c>
      <x:c r="E6" s="120" t="str">
        <x:v>Passenger Search/Filter/Trip Detail/Fare</x:v>
      </x:c>
      <x:c r="F6" s="84" t="str">
        <x:v>—</x:v>
      </x:c>
      <x:c r="G6" s="120" t="str">
        <x:v>—</x:v>
      </x:c>
      <x:c r="H6" s="120" t="n">
        <x:v>8</x:v>
      </x:c>
      <x:c r="I6" s="120" t="str">
        <x:v>feature/sp2-search-fare</x:v>
      </x:c>
      <x:c r="J6" s="133" t="str">
        <x:v>Passenger tìm, so sánh và chọn chuyến</x:v>
      </x:c>
    </x:row>
    <x:row r="7">
      <x:c r="A7" s="115" t="str">
        <x:v>Người 2</x:v>
      </x:c>
      <x:c r="B7" s="116" t="str">
        <x:v>Sprint 2</x:v>
      </x:c>
      <x:c r="C7" s="120" t="str">
        <x:v>Booking; locking/concurrency</x:v>
      </x:c>
      <x:c r="D7" s="120" t="str">
        <x:v>—</x:v>
      </x:c>
      <x:c r="E7" s="120" t="str">
        <x:v>Booking/Cancel UI</x:v>
      </x:c>
      <x:c r="F7" s="84" t="str">
        <x:v>—</x:v>
      </x:c>
      <x:c r="G7" s="120" t="str">
        <x:v>Concurrent booking test</x:v>
      </x:c>
      <x:c r="H7" s="120" t="n">
        <x:v>8</x:v>
      </x:c>
      <x:c r="I7" s="120" t="str">
        <x:v>feature/sp2-booking-seat</x:v>
      </x:c>
      <x:c r="J7" s="133" t="str">
        <x:v>Booking chính xác, không overbooking</x:v>
      </x:c>
    </x:row>
    <x:row r="8">
      <x:c r="A8" s="115" t="str">
        <x:v>Người 1</x:v>
      </x:c>
      <x:c r="B8" s="116" t="str">
        <x:v>Sprint 3</x:v>
      </x:c>
      <x:c r="C8" s="120" t="str">
        <x:v>TripStop; optimizer integration</x:v>
      </x:c>
      <x:c r="D8" s="120" t="str">
        <x:v>—</x:v>
      </x:c>
      <x:c r="E8" s="120" t="str">
        <x:v>Passenger route/stops view</x:v>
      </x:c>
      <x:c r="F8" s="84" t="str">
        <x:v>FastAPI + OR-Tools</x:v>
      </x:c>
      <x:c r="G8" s="120" t="str">
        <x:v>Constraint tests</x:v>
      </x:c>
      <x:c r="H8" s="120" t="n">
        <x:v>8</x:v>
      </x:c>
      <x:c r="I8" s="120" t="str">
        <x:v>feature/sp3-tripstop-optimizer</x:v>
      </x:c>
      <x:c r="J8" s="133" t="str">
        <x:v>Ordered pickup/dropoff hợp lệ</x:v>
      </x:c>
    </x:row>
    <x:row r="9">
      <x:c r="A9" s="115" t="str">
        <x:v>Người 2</x:v>
      </x:c>
      <x:c r="B9" s="116" t="str">
        <x:v>Sprint 3</x:v>
      </x:c>
      <x:c r="C9" s="120" t="str">
        <x:v>Trip lifecycle; WebSocket/location</x:v>
      </x:c>
      <x:c r="D9" s="120" t="str">
        <x:v>—</x:v>
      </x:c>
      <x:c r="E9" s="120" t="str">
        <x:v>Driver trip/GPS + Passenger tracking</x:v>
      </x:c>
      <x:c r="F9" s="84" t="str">
        <x:v>—</x:v>
      </x:c>
      <x:c r="G9" s="120" t="str">
        <x:v>Reconnect/notification basic</x:v>
      </x:c>
      <x:c r="H9" s="120" t="n">
        <x:v>8</x:v>
      </x:c>
      <x:c r="I9" s="120" t="str">
        <x:v>feature/sp3-driver-realtime</x:v>
      </x:c>
      <x:c r="J9" s="133" t="str">
        <x:v>Trip chạy end-to-end và realtime</x:v>
      </x:c>
    </x:row>
    <x:row r="10">
      <x:c r="A10" s="115" t="str">
        <x:v>Người 1</x:v>
      </x:c>
      <x:c r="B10" s="116" t="str">
        <x:v>Sprint 4</x:v>
      </x:c>
      <x:c r="C10" s="120" t="str">
        <x:v>Rating; Admin analytics API</x:v>
      </x:c>
      <x:c r="D10" s="120" t="str">
        <x:v>Admin Dashboard/Monitoring</x:v>
      </x:c>
      <x:c r="E10" s="120" t="str">
        <x:v>Rating UI</x:v>
      </x:c>
      <x:c r="F10" s="84" t="str">
        <x:v>—</x:v>
      </x:c>
      <x:c r="G10" s="120" t="str">
        <x:v>Module/API tests</x:v>
      </x:c>
      <x:c r="H10" s="120" t="n">
        <x:v>8</x:v>
      </x:c>
      <x:c r="I10" s="120" t="str">
        <x:v>feature/sp4-rating-admin</x:v>
      </x:c>
      <x:c r="J10" s="133" t="str">
        <x:v>Rating/dashboard + API docs/test</x:v>
      </x:c>
    </x:row>
    <x:row r="11">
      <x:c r="A11" s="117" t="str">
        <x:v>Người 2</x:v>
      </x:c>
      <x:c r="B11" s="118" t="str">
        <x:v>Sprint 4</x:v>
      </x:c>
      <x:c r="C11" s="121" t="str">
        <x:v>Incident/Report API</x:v>
      </x:c>
      <x:c r="D11" s="121" t="str">
        <x:v>Trip monitoring UI</x:v>
      </x:c>
      <x:c r="E11" s="121" t="str">
        <x:v>Realtime/mobile polish</x:v>
      </x:c>
      <x:c r="F11" s="131" t="str">
        <x:v>—</x:v>
      </x:c>
      <x:c r="G11" s="121" t="str">
        <x:v>E2E + Docker + CI/CD</x:v>
      </x:c>
      <x:c r="H11" s="121" t="n">
        <x:v>8</x:v>
      </x:c>
      <x:c r="I11" s="121" t="str">
        <x:v>feature/sp4-stabilize-devops</x:v>
      </x:c>
      <x:c r="J11" s="134" t="str">
        <x:v>MVP chạy bằng Docker, CI pass, E2E demo</x:v>
      </x:c>
    </x:row>
    <x:row r="14">
      <x:c r="A14" s="106" t="str">
        <x:v>Người</x:v>
      </x:c>
      <x:c r="B14" s="107" t="str">
        <x:v>Backend SP</x:v>
      </x:c>
      <x:c r="C14" s="108" t="str">
        <x:v>Web FE SP</x:v>
      </x:c>
      <x:c r="D14" s="136" t="str">
        <x:v>Mobile SP</x:v>
      </x:c>
      <x:c r="E14" s="136" t="str">
        <x:v>Optimizer SP</x:v>
      </x:c>
      <x:c r="F14" s="137" t="str">
        <x:v>Test/DevOps SP</x:v>
      </x:c>
    </x:row>
    <x:row r="15">
      <x:c r="A15" s="138" t="str">
        <x:v>Người 1</x:v>
      </x:c>
      <x:c r="B15" s="29" t="n">
        <x:f>SUMIFS('Kế hoạch Sprint'!I:I,'Kế hoạch Sprint'!D:D,A15,'Kế hoạch Sprint'!E:E,"Backend")</x:f>
        <x:v>14</x:v>
      </x:c>
      <x:c r="C15" s="58" t="n">
        <x:f>SUMIFS('Kế hoạch Sprint'!I:I,'Kế hoạch Sprint'!D:D,A15,'Kế hoạch Sprint'!E:E,"Web Frontend")</x:f>
        <x:v>7</x:v>
      </x:c>
      <x:c r="D15" s="116" t="n">
        <x:f>SUMIFS('Kế hoạch Sprint'!I:I,'Kế hoạch Sprint'!D:D,A15,'Kế hoạch Sprint'!E:E,"Mobile")</x:f>
        <x:v>6</x:v>
      </x:c>
      <x:c r="E15" s="116" t="n">
        <x:f>SUMIFS('Kế hoạch Sprint'!I:I,'Kế hoạch Sprint'!D:D,A15,'Kế hoạch Sprint'!E:E,"Optimizer")</x:f>
        <x:v>3</x:v>
      </x:c>
      <x:c r="F15" s="130" t="n">
        <x:f>SUMIFS('Kế hoạch Sprint'!I:I,'Kế hoạch Sprint'!D:D,A15)-SUM(B15:E15)</x:f>
        <x:v>2</x:v>
      </x:c>
    </x:row>
    <x:row r="16">
      <x:c r="A16" s="117" t="str">
        <x:v>Người 2</x:v>
      </x:c>
      <x:c r="B16" s="118" t="n">
        <x:f>SUMIFS('Kế hoạch Sprint'!I:I,'Kế hoạch Sprint'!D:D,A16,'Kế hoạch Sprint'!E:E,"Backend")</x:f>
        <x:v>14</x:v>
      </x:c>
      <x:c r="C16" s="118" t="n">
        <x:f>SUMIFS('Kế hoạch Sprint'!I:I,'Kế hoạch Sprint'!D:D,A16,'Kế hoạch Sprint'!E:E,"Web Frontend")</x:f>
        <x:v>5</x:v>
      </x:c>
      <x:c r="D16" s="118" t="n">
        <x:f>SUMIFS('Kế hoạch Sprint'!I:I,'Kế hoạch Sprint'!D:D,A16,'Kế hoạch Sprint'!E:E,"Mobile")</x:f>
        <x:v>8</x:v>
      </x:c>
      <x:c r="E16" s="118" t="n">
        <x:f>SUMIFS('Kế hoạch Sprint'!I:I,'Kế hoạch Sprint'!D:D,A16,'Kế hoạch Sprint'!E:E,"Optimizer")</x:f>
        <x:v>0</x:v>
      </x:c>
      <x:c r="F16" s="132" t="n">
        <x:f>SUMIFS('Kế hoạch Sprint'!I:I,'Kế hoạch Sprint'!D:D,A16)-SUM(B16:E16)</x:f>
        <x:v>5</x:v>
      </x:c>
    </x:row>
  </x:sheetData>
  <x:mergeCells>
    <x:mergeCell ref="A1:F1"/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24" hidden="0" customWidth="1"/>
    <x:col min="4" max="4" width="18" hidden="0" customWidth="1"/>
    <x:col min="5" max="5" width="30" hidden="0" customWidth="1"/>
    <x:col min="6" max="6" width="28" hidden="0" customWidth="1"/>
  </x:cols>
  <x:sheetData>
    <x:row r="1">
      <x:c r="A1" s="5" t="str">
        <x:v>GIT WORKFLOW CHO TEAM 2 NGƯỜI</x:v>
      </x:c>
      <x:c r="B1" s="5"/>
      <x:c r="C1" s="5"/>
      <x:c r="D1" s="5"/>
      <x:c r="E1" s="5"/>
      <x:c r="F1" s="5"/>
    </x:row>
    <x:row r="3">
      <x:c r="A3" s="22" t="str">
        <x:v>Bước</x:v>
      </x:c>
      <x:c r="B3" s="23" t="str">
        <x:v>Thao tác</x:v>
      </x:c>
      <x:c r="C3" s="23" t="str">
        <x:v>Branch</x:v>
      </x:c>
      <x:c r="D3" s="23" t="str">
        <x:v>Người thực hiện</x:v>
      </x:c>
      <x:c r="E3" s="23" t="str">
        <x:v>Điều kiện</x:v>
      </x:c>
      <x:c r="F3" s="24" t="str">
        <x:v>Kết quả</x:v>
      </x:c>
    </x:row>
    <x:row r="4">
      <x:c r="A4" s="25" t="n">
        <x:v>1</x:v>
      </x:c>
      <x:c r="B4" s="89" t="str">
        <x:v>Cập nhật code mới nhất</x:v>
      </x:c>
      <x:c r="C4" s="89" t="str">
        <x:v>develop</x:v>
      </x:c>
      <x:c r="D4" s="89" t="str">
        <x:v>Cả hai</x:v>
      </x:c>
      <x:c r="E4" s="89" t="str">
        <x:v>Trước khi bắt đầu task</x:v>
      </x:c>
      <x:c r="F4" s="84" t="str">
        <x:v>Local develop mới nhất</x:v>
      </x:c>
    </x:row>
    <x:row r="5">
      <x:c r="A5" s="25" t="n">
        <x:v>2</x:v>
      </x:c>
      <x:c r="B5" s="89" t="str">
        <x:v>Tạo feature branch</x:v>
      </x:c>
      <x:c r="C5" s="89" t="str">
        <x:v>feature/*</x:v>
      </x:c>
      <x:c r="D5" s="89" t="str">
        <x:v>Owner task</x:v>
      </x:c>
      <x:c r="E5" s="89" t="str">
        <x:v>Từ develop</x:v>
      </x:c>
      <x:c r="F5" s="84" t="str">
        <x:v>Branch riêng cho task/sprint</x:v>
      </x:c>
    </x:row>
    <x:row r="6">
      <x:c r="A6" s="25" t="n">
        <x:v>3</x:v>
      </x:c>
      <x:c r="B6" s="89" t="str">
        <x:v>AI Agent inspect + plan</x:v>
      </x:c>
      <x:c r="C6" s="89" t="str">
        <x:v>feature/*</x:v>
      </x:c>
      <x:c r="D6" s="89" t="str">
        <x:v>Owner task</x:v>
      </x:c>
      <x:c r="E6" s="89" t="str">
        <x:v>Đọc AGENTS/docs/rules</x:v>
      </x:c>
      <x:c r="F6" s="84" t="str">
        <x:v>Implementation plan nhỏ</x:v>
      </x:c>
    </x:row>
    <x:row r="7">
      <x:c r="A7" s="25" t="n">
        <x:v>4</x:v>
      </x:c>
      <x:c r="B7" s="89" t="str">
        <x:v>Implement + test</x:v>
      </x:c>
      <x:c r="C7" s="89" t="str">
        <x:v>feature/*</x:v>
      </x:c>
      <x:c r="D7" s="89" t="str">
        <x:v>Owner task</x:v>
      </x:c>
      <x:c r="E7" s="89" t="str">
        <x:v>Plan được chấp nhận</x:v>
      </x:c>
      <x:c r="F7" s="84" t="str">
        <x:v>Code + test evidence</x:v>
      </x:c>
    </x:row>
    <x:row r="8">
      <x:c r="A8" s="25" t="n">
        <x:v>5</x:v>
      </x:c>
      <x:c r="B8" s="89" t="str">
        <x:v>Push branch</x:v>
      </x:c>
      <x:c r="C8" s="89" t="str">
        <x:v>feature/*</x:v>
      </x:c>
      <x:c r="D8" s="89" t="str">
        <x:v>Owner task</x:v>
      </x:c>
      <x:c r="E8" s="89" t="str">
        <x:v>Test local phù hợp</x:v>
      </x:c>
      <x:c r="F8" s="84" t="str">
        <x:v>Branch trên remote</x:v>
      </x:c>
    </x:row>
    <x:row r="9">
      <x:c r="A9" s="25" t="n">
        <x:v>6</x:v>
      </x:c>
      <x:c r="B9" s="89" t="str">
        <x:v>Tạo Pull Request</x:v>
      </x:c>
      <x:c r="C9" s="89" t="str">
        <x:v>feature/* → develop</x:v>
      </x:c>
      <x:c r="D9" s="89" t="str">
        <x:v>Owner task</x:v>
      </x:c>
      <x:c r="E9" s="89" t="str">
        <x:v>Có mô tả + evidence</x:v>
      </x:c>
      <x:c r="F9" s="84" t="str">
        <x:v>PR chờ review</x:v>
      </x:c>
    </x:row>
    <x:row r="10">
      <x:c r="A10" s="25" t="n">
        <x:v>7</x:v>
      </x:c>
      <x:c r="B10" s="89" t="str">
        <x:v>Review PR</x:v>
      </x:c>
      <x:c r="C10" s="89" t="str">
        <x:v>PR</x:v>
      </x:c>
      <x:c r="D10" s="89" t="str">
        <x:v>Người còn lại</x:v>
      </x:c>
      <x:c r="E10" s="89" t="str">
        <x:v>Không tự approve PR của mình</x:v>
      </x:c>
      <x:c r="F10" s="84" t="str">
        <x:v>Approve / request changes</x:v>
      </x:c>
    </x:row>
    <x:row r="11">
      <x:c r="A11" s="25" t="n">
        <x:v>8</x:v>
      </x:c>
      <x:c r="B11" s="89" t="str">
        <x:v>Merge</x:v>
      </x:c>
      <x:c r="C11" s="89" t="str">
        <x:v>develop</x:v>
      </x:c>
      <x:c r="D11" s="89" t="str">
        <x:v>Reviewer/Owner theo rule</x:v>
      </x:c>
      <x:c r="E11" s="89" t="str">
        <x:v>CI pass + review pass</x:v>
      </x:c>
      <x:c r="F11" s="84" t="str">
        <x:v>Feature tích hợp</x:v>
      </x:c>
    </x:row>
    <x:row r="12">
      <x:c r="A12" s="25" t="n">
        <x:v>9</x:v>
      </x:c>
      <x:c r="B12" s="89" t="str">
        <x:v>Demo cuối sprint</x:v>
      </x:c>
      <x:c r="C12" s="89" t="str">
        <x:v>develop</x:v>
      </x:c>
      <x:c r="D12" s="89" t="str">
        <x:v>Cả hai</x:v>
      </x:c>
      <x:c r="E12" s="89" t="str">
        <x:v>Các PR sprint đã merge</x:v>
      </x:c>
      <x:c r="F12" s="84" t="str">
        <x:v>Sprint increment chạy được</x:v>
      </x:c>
    </x:row>
    <x:row r="13">
      <x:c r="A13" s="28" t="n">
        <x:v>10</x:v>
      </x:c>
      <x:c r="B13" s="90" t="str">
        <x:v>Release MVP</x:v>
      </x:c>
      <x:c r="C13" s="90" t="str">
        <x:v>develop → main</x:v>
      </x:c>
      <x:c r="D13" s="90" t="str">
        <x:v>Cả hai</x:v>
      </x:c>
      <x:c r="E13" s="90" t="str">
        <x:v>Sprint 4 pass</x:v>
      </x:c>
      <x:c r="F13" s="85" t="str">
        <x:v>Tag v1.0.0</x:v>
      </x:c>
    </x:row>
    <x:row r="16">
      <x:c r="A16" s="65" t="str">
        <x:v>QUY ƯỚC BRANCH</x:v>
      </x:c>
      <x:c r="B16" s="65"/>
      <x:c r="C16" s="65"/>
      <x:c r="D16" s="65"/>
      <x:c r="E16" s="65"/>
      <x:c r="F16" s="65"/>
    </x:row>
    <x:row r="17">
      <x:c r="A17" s="22" t="str">
        <x:v>Loại</x:v>
      </x:c>
      <x:c r="B17" s="24" t="str">
        <x:v>Mẫu</x:v>
      </x:c>
    </x:row>
    <x:row r="18">
      <x:c r="A18" s="25" t="str">
        <x:v>Feature</x:v>
      </x:c>
      <x:c r="B18" s="57" t="str">
        <x:v>feature/&lt;ten-chuc-nang&gt;</x:v>
      </x:c>
    </x:row>
    <x:row r="19">
      <x:c r="A19" s="25" t="str">
        <x:v>Fix</x:v>
      </x:c>
      <x:c r="B19" s="57" t="str">
        <x:v>fix/&lt;mo-ta-loi&gt;</x:v>
      </x:c>
    </x:row>
    <x:row r="20">
      <x:c r="A20" s="25" t="str">
        <x:v>Integration</x:v>
      </x:c>
      <x:c r="B20" s="57" t="str">
        <x:v>develop</x:v>
      </x:c>
    </x:row>
    <x:row r="21">
      <x:c r="A21" s="28" t="str">
        <x:v>Release ổn định</x:v>
      </x:c>
      <x:c r="B21" s="58" t="str">
        <x:v>main</x:v>
      </x:c>
    </x:row>
  </x:sheetData>
  <x:mergeCells>
    <x:mergeCell ref="A1:F1"/>
    <x:mergeCell ref="A16:F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2" t="str">
        <x:v>Trạng thái</x:v>
      </x:c>
      <x:c r="B1" s="23" t="str">
        <x:v>Ưu tiên</x:v>
      </x:c>
      <x:c r="C1" s="23" t="str">
        <x:v>Người phụ trách</x:v>
      </x:c>
      <x:c r="D1" s="24" t="str">
        <x:v>Sprint</x:v>
      </x:c>
    </x:row>
    <x:row r="2">
      <x:c r="A2" s="25" t="str">
        <x:v>Chưa bắt đầu</x:v>
      </x:c>
      <x:c r="B2" s="26" t="str">
        <x:v>Cao</x:v>
      </x:c>
      <x:c r="C2" s="26" t="str">
        <x:v>Người 1</x:v>
      </x:c>
      <x:c r="D2" s="57" t="str">
        <x:v>Sprint 1</x:v>
      </x:c>
    </x:row>
    <x:row r="3">
      <x:c r="A3" s="25" t="str">
        <x:v>Đang làm</x:v>
      </x:c>
      <x:c r="B3" s="26" t="str">
        <x:v>Trung bình</x:v>
      </x:c>
      <x:c r="C3" s="26" t="str">
        <x:v>Người 2</x:v>
      </x:c>
      <x:c r="D3" s="57" t="str">
        <x:v>Sprint 2</x:v>
      </x:c>
    </x:row>
    <x:row r="4">
      <x:c r="A4" s="25" t="str">
        <x:v>Review</x:v>
      </x:c>
      <x:c r="B4" s="26" t="str">
        <x:v>Thấp</x:v>
      </x:c>
      <x:c r="C4" s="26"/>
      <x:c r="D4" s="57" t="str">
        <x:v>Sprint 3</x:v>
      </x:c>
    </x:row>
    <x:row r="5">
      <x:c r="A5" s="25" t="str">
        <x:v>Hoàn thành</x:v>
      </x:c>
      <x:c r="B5" s="26"/>
      <x:c r="C5" s="26"/>
      <x:c r="D5" s="57" t="str">
        <x:v>Sprint 4</x:v>
      </x:c>
    </x:row>
    <x:row r="6">
      <x:c r="A6" s="28" t="str">
        <x:v>Blocked</x:v>
      </x:c>
      <x:c r="B6" s="29"/>
      <x:c r="C6" s="29"/>
      <x:c r="D6" s="58"/>
    </x:row>
  </x:sheetData>
  <x:pageMargins left="0.7" right="0.7" top="0.75" bottom="0.75" header="0.3" footer="0.3"/>
</x:worksheet>
</file>